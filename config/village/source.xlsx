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dge浏览器下载\"/>
    </mc:Choice>
  </mc:AlternateContent>
  <xr:revisionPtr revIDLastSave="0" documentId="13_ncr:1_{A171AAEF-96C0-4314-ACD3-DCEB5B40CAB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全局参数" sheetId="1" r:id="rId1"/>
    <sheet name="角色属性" sheetId="2" r:id="rId2"/>
    <sheet name="角色成长" sheetId="3" r:id="rId3"/>
    <sheet name="围栏等级" sheetId="4" r:id="rId4"/>
    <sheet name="怪物属性" sheetId="5" r:id="rId5"/>
    <sheet name="狼群波次" sheetId="6" r:id="rId6"/>
    <sheet name="武器制作" sheetId="7" r:id="rId7"/>
    <sheet name="战斗公式" sheetId="8" r:id="rId8"/>
    <sheet name="采集探索" sheetId="9" r:id="rId9"/>
    <sheet name="平衡检查" sheetId="10" r:id="rId10"/>
    <sheet name="使用说明" sheetId="11" r:id="rId11"/>
  </sheets>
  <definedNames>
    <definedName name="_xlnm._FilterDatabase" localSheetId="8" hidden="1">采集探索!$A$1:$C$7</definedName>
    <definedName name="_xlnm._FilterDatabase" localSheetId="4" hidden="1">怪物属性!$A$1:$P$9</definedName>
    <definedName name="_xlnm._FilterDatabase" localSheetId="2" hidden="1">角色成长!$A$1:$D$10</definedName>
    <definedName name="_xlnm._FilterDatabase" localSheetId="1" hidden="1">角色属性!$A$1:$Q$13</definedName>
    <definedName name="_xlnm._FilterDatabase" localSheetId="5" hidden="1">狼群波次!$A$1:$L$12</definedName>
    <definedName name="_xlnm._FilterDatabase" localSheetId="9" hidden="1">平衡检查!$A$1:$D$9</definedName>
    <definedName name="_xlnm._FilterDatabase" localSheetId="0" hidden="1">全局参数!$A$1:$D$15</definedName>
    <definedName name="_xlnm._FilterDatabase" localSheetId="10" hidden="1">使用说明!$A$1:$B$10</definedName>
    <definedName name="_xlnm._FilterDatabase" localSheetId="3" hidden="1">围栏等级!$A$1:$H$12</definedName>
    <definedName name="_xlnm._FilterDatabase" localSheetId="6" hidden="1">武器制作!$A$1:$K$8</definedName>
    <definedName name="_xlnm._FilterDatabase" localSheetId="7" hidden="1">战斗公式!$A$1:$E$16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9" l="1"/>
  <c r="C27" i="9" s="1"/>
  <c r="C28" i="9" s="1"/>
  <c r="C29" i="9" s="1"/>
  <c r="C30" i="9" s="1"/>
  <c r="C31" i="9" s="1"/>
  <c r="C32" i="9" s="1"/>
  <c r="C33" i="9" s="1"/>
  <c r="C34" i="9" s="1"/>
  <c r="B26" i="9"/>
  <c r="B27" i="9" s="1"/>
  <c r="B28" i="9" s="1"/>
  <c r="B29" i="9" s="1"/>
  <c r="B30" i="9" s="1"/>
  <c r="B31" i="9" s="1"/>
  <c r="B32" i="9" s="1"/>
  <c r="B33" i="9" s="1"/>
  <c r="B34" i="9" s="1"/>
  <c r="C15" i="9"/>
  <c r="C16" i="9" s="1"/>
  <c r="C17" i="9" s="1"/>
  <c r="C18" i="9" s="1"/>
  <c r="C19" i="9" s="1"/>
  <c r="C20" i="9" s="1"/>
  <c r="C21" i="9" s="1"/>
  <c r="C22" i="9" s="1"/>
  <c r="C23" i="9" s="1"/>
  <c r="B15" i="9"/>
  <c r="B16" i="9" s="1"/>
  <c r="B17" i="9" s="1"/>
  <c r="B18" i="9" s="1"/>
  <c r="B19" i="9" s="1"/>
  <c r="B20" i="9" s="1"/>
  <c r="B21" i="9" s="1"/>
  <c r="B22" i="9" s="1"/>
  <c r="B23" i="9" s="1"/>
  <c r="C4" i="9"/>
  <c r="C5" i="9" s="1"/>
  <c r="B4" i="9"/>
  <c r="B5" i="9" s="1"/>
  <c r="B6" i="9" s="1"/>
  <c r="B7" i="9" s="1"/>
  <c r="C6" i="9" l="1"/>
  <c r="C7" i="9"/>
  <c r="C8" i="9" s="1"/>
  <c r="C9" i="9" s="1"/>
  <c r="C10" i="9" s="1"/>
  <c r="C11" i="9" s="1"/>
  <c r="C12" i="9" s="1"/>
  <c r="B8" i="9"/>
  <c r="B9" i="9" s="1"/>
  <c r="B10" i="9"/>
  <c r="B11" i="9" s="1"/>
  <c r="B12" i="9" s="1"/>
</calcChain>
</file>

<file path=xl/sharedStrings.xml><?xml version="1.0" encoding="utf-8"?>
<sst xmlns="http://schemas.openxmlformats.org/spreadsheetml/2006/main" count="550" uniqueCount="403">
  <si>
    <t>参数ID</t>
  </si>
  <si>
    <t>参数名称</t>
  </si>
  <si>
    <t>数值</t>
  </si>
  <si>
    <t>说明</t>
  </si>
  <si>
    <t>FENCE_MAX_LEVEL</t>
  </si>
  <si>
    <t>围栏最大等级</t>
  </si>
  <si>
    <t>与围栏等级表保持一致</t>
  </si>
  <si>
    <t>RECRUIT_MAX</t>
  </si>
  <si>
    <t>招募人数上限</t>
  </si>
  <si>
    <t>不含玩家；建议英雄/流浪者共用上限</t>
  </si>
  <si>
    <t>DAY_DURATION_MIN</t>
  </si>
  <si>
    <t>白天时长(分钟)</t>
  </si>
  <si>
    <t>建议可在配置中调整</t>
  </si>
  <si>
    <t>NIGHT_DURATION_MIN</t>
  </si>
  <si>
    <t>夜晚时长(分钟)</t>
  </si>
  <si>
    <t>夜晚触发狼群攻击</t>
  </si>
  <si>
    <t>WAVE_INTERVAL_DAYS</t>
  </si>
  <si>
    <t>狼群攻击间隔(天)</t>
  </si>
  <si>
    <t>每2个游戏日触发一波；可改为随机1-2天</t>
  </si>
  <si>
    <t>PLAYER_BASE_HP</t>
  </si>
  <si>
    <t>玩家基础HP</t>
  </si>
  <si>
    <t>玩家可通过装备/升级提高</t>
  </si>
  <si>
    <t>PLAYER_BASE_ATK</t>
  </si>
  <si>
    <t>玩家基础攻击力</t>
  </si>
  <si>
    <t>基础攻击，武器加成另计</t>
  </si>
  <si>
    <t>BASE_DEF_REDUCTION_CAP</t>
  </si>
  <si>
    <t>防御减伤上限</t>
  </si>
  <si>
    <t>防御公式的减伤上限，防止完全免伤</t>
  </si>
  <si>
    <t>MIN_DAMAGE</t>
  </si>
  <si>
    <t>最低单次伤害</t>
  </si>
  <si>
    <t>命中后至少造成1点伤害</t>
  </si>
  <si>
    <t>HIT_RATE</t>
  </si>
  <si>
    <t>基础命中率</t>
  </si>
  <si>
    <t>最终命中率可在0.05-0.98之间夹取</t>
  </si>
  <si>
    <t>CRIT_RATE_BASE</t>
  </si>
  <si>
    <t>基础暴击率</t>
  </si>
  <si>
    <t>暴击伤害倍率见战斗公式</t>
  </si>
  <si>
    <t>CRIT_MULTIPLIER</t>
  </si>
  <si>
    <t>暴击伤害倍率</t>
  </si>
  <si>
    <t>暴击后伤害=普通伤害×1.5</t>
  </si>
  <si>
    <t>RESOURCE_GATHER_BASE</t>
  </si>
  <si>
    <t>单次基础采集量</t>
  </si>
  <si>
    <t>角色采集属性参与计算</t>
  </si>
  <si>
    <t>EXPLORE_RISK_BASE</t>
  </si>
  <si>
    <t>探索基础受伤概率</t>
  </si>
  <si>
    <t>探索区域风险另加</t>
  </si>
  <si>
    <t>角色ID</t>
  </si>
  <si>
    <t>角色名称</t>
  </si>
  <si>
    <t>类型</t>
  </si>
  <si>
    <t>解锁/获取</t>
  </si>
  <si>
    <t>基础HP</t>
  </si>
  <si>
    <t>基础攻击</t>
  </si>
  <si>
    <t>基础防御</t>
  </si>
  <si>
    <t>攻速(次/秒)</t>
  </si>
  <si>
    <t>射程</t>
  </si>
  <si>
    <t>命中率</t>
  </si>
  <si>
    <t>暴击率</t>
  </si>
  <si>
    <t>暴击倍率</t>
  </si>
  <si>
    <t>采集效率</t>
  </si>
  <si>
    <t>探索能力</t>
  </si>
  <si>
    <t>制作能力</t>
  </si>
  <si>
    <t>移动速度</t>
  </si>
  <si>
    <t>定位/说明</t>
  </si>
  <si>
    <t>P001</t>
  </si>
  <si>
    <t>玩家</t>
  </si>
  <si>
    <t>初始角色</t>
  </si>
  <si>
    <t>可战斗、采集、建造；死亡惩罚可选</t>
  </si>
  <si>
    <t>H001</t>
  </si>
  <si>
    <t>见习守卫</t>
  </si>
  <si>
    <t>英雄</t>
  </si>
  <si>
    <t>近战；前期稳定肉盾</t>
  </si>
  <si>
    <t>H002</t>
  </si>
  <si>
    <t>伐木猎手</t>
  </si>
  <si>
    <t>弓箭远程；采集木材效率高</t>
  </si>
  <si>
    <t>H003</t>
  </si>
  <si>
    <t>石工匠人</t>
  </si>
  <si>
    <t>采石与围栏维修专长</t>
  </si>
  <si>
    <t>H004</t>
  </si>
  <si>
    <t>流浪剑士</t>
  </si>
  <si>
    <t>高输出近战</t>
  </si>
  <si>
    <t>H005</t>
  </si>
  <si>
    <t>巡林斥候</t>
  </si>
  <si>
    <t>高探索能力与远程输出</t>
  </si>
  <si>
    <t>H006</t>
  </si>
  <si>
    <t>工坊学徒</t>
  </si>
  <si>
    <t>制作木剑、弓箭更省材料</t>
  </si>
  <si>
    <t>H007</t>
  </si>
  <si>
    <t>老兵队长</t>
  </si>
  <si>
    <t>坦克型英雄，可提升邻近守卫士气(后续扩展)</t>
  </si>
  <si>
    <t>W001</t>
  </si>
  <si>
    <t>普通流浪者</t>
  </si>
  <si>
    <t>流浪者</t>
  </si>
  <si>
    <t>低战力、低成本；可派遣采集</t>
  </si>
  <si>
    <t>W002</t>
  </si>
  <si>
    <t>强壮流浪者</t>
  </si>
  <si>
    <t>适合采集与近战补位</t>
  </si>
  <si>
    <t>W003</t>
  </si>
  <si>
    <t>灵巧流浪者</t>
  </si>
  <si>
    <t>可装备简易弓，适合探索</t>
  </si>
  <si>
    <t>成长项</t>
  </si>
  <si>
    <t>推荐规则</t>
  </si>
  <si>
    <t>示例/公式</t>
  </si>
  <si>
    <t>角色等级上限</t>
  </si>
  <si>
    <t>10级</t>
  </si>
  <si>
    <t>Level = 1..10</t>
  </si>
  <si>
    <t>初期先用等级成长，避免配置量过大</t>
  </si>
  <si>
    <t>每级HP成长</t>
  </si>
  <si>
    <t>基础HP的8%</t>
  </si>
  <si>
    <t>HP(L)=基础HP×[1+0.08×(L-1)]</t>
  </si>
  <si>
    <t>向下取整</t>
  </si>
  <si>
    <t>每级攻击成长</t>
  </si>
  <si>
    <t>基础攻击的7%</t>
  </si>
  <si>
    <t>ATK(L)=基础攻击×[1+0.07×(L-1)]</t>
  </si>
  <si>
    <t>每级防御成长</t>
  </si>
  <si>
    <t>基础防御每级+0.5</t>
  </si>
  <si>
    <t>DEF(L)=基础防御+0.5×(L-1)</t>
  </si>
  <si>
    <t>战斗计算时可保留小数</t>
  </si>
  <si>
    <t>每级采集效率</t>
  </si>
  <si>
    <t>每级+3%</t>
  </si>
  <si>
    <t>Gather(L)=基础采集效率×[1+0.03×(L-1)]</t>
  </si>
  <si>
    <t>不建议让采集效率无限叠加</t>
  </si>
  <si>
    <t>每级探索能力</t>
  </si>
  <si>
    <t>每级+4%</t>
  </si>
  <si>
    <t>Explore(L)=基础探索能力×[1+0.04×(L-1)]</t>
  </si>
  <si>
    <t>影响事件成功率与稀有资源概率</t>
  </si>
  <si>
    <t>装备攻击加成</t>
  </si>
  <si>
    <t>武器ATK直接相加</t>
  </si>
  <si>
    <t>最终ATK=角色ATK+武器ATK</t>
  </si>
  <si>
    <t>便于平衡和数据调试</t>
  </si>
  <si>
    <t>装备防御加成</t>
  </si>
  <si>
    <t>护甲DEF直接相加</t>
  </si>
  <si>
    <t>最终DEF=角色DEF+装备DEF</t>
  </si>
  <si>
    <t>再进入减伤公式</t>
  </si>
  <si>
    <t>围栏等级</t>
  </si>
  <si>
    <t>最大HP</t>
  </si>
  <si>
    <t>木材成本</t>
  </si>
  <si>
    <t>石头成本</t>
  </si>
  <si>
    <t>维修木材/次</t>
  </si>
  <si>
    <t>维修石头/次</t>
  </si>
  <si>
    <t>解锁/效果</t>
  </si>
  <si>
    <t>初始围栏；仅能承受少量攻击</t>
  </si>
  <si>
    <t>HP提升，轻微减伤</t>
  </si>
  <si>
    <t>基础防御提升</t>
  </si>
  <si>
    <t>耐久显著提高</t>
  </si>
  <si>
    <t>中期防线</t>
  </si>
  <si>
    <t>抵挡中型狼群</t>
  </si>
  <si>
    <t>高防御</t>
  </si>
  <si>
    <t>高级围栏</t>
  </si>
  <si>
    <t>接近最终防线</t>
  </si>
  <si>
    <t>最高等级；建议加入外观变化与防御特效</t>
  </si>
  <si>
    <t>怪物ID</t>
  </si>
  <si>
    <t>名称</t>
  </si>
  <si>
    <t>类别</t>
  </si>
  <si>
    <t>目标偏好</t>
  </si>
  <si>
    <t>掉落木材</t>
  </si>
  <si>
    <t>掉落石头</t>
  </si>
  <si>
    <t>掉落肉</t>
  </si>
  <si>
    <t>备注</t>
  </si>
  <si>
    <t>M001</t>
  </si>
  <si>
    <t>瘦弱狼</t>
  </si>
  <si>
    <t>普通狼</t>
  </si>
  <si>
    <t>45</t>
  </si>
  <si>
    <t>7</t>
  </si>
  <si>
    <t>1</t>
  </si>
  <si>
    <t>流浪者/玩家</t>
  </si>
  <si>
    <t>前期单体骚扰</t>
  </si>
  <si>
    <t>M002</t>
  </si>
  <si>
    <t>灰狼</t>
  </si>
  <si>
    <t>65</t>
  </si>
  <si>
    <t>10</t>
  </si>
  <si>
    <t>2</t>
  </si>
  <si>
    <t>最近目标</t>
  </si>
  <si>
    <t>基础狼群单位</t>
  </si>
  <si>
    <t>M003</t>
  </si>
  <si>
    <t>巨狼</t>
  </si>
  <si>
    <t>重型狼</t>
  </si>
  <si>
    <t>150</t>
  </si>
  <si>
    <t>16</t>
  </si>
  <si>
    <t>5</t>
  </si>
  <si>
    <t>围栏/近战单位</t>
  </si>
  <si>
    <t>高HP，拆墙压力大</t>
  </si>
  <si>
    <t>M004</t>
  </si>
  <si>
    <t>狼群头目</t>
  </si>
  <si>
    <t>精英</t>
  </si>
  <si>
    <t>260</t>
  </si>
  <si>
    <t>21</t>
  </si>
  <si>
    <t>围栏/玩家</t>
  </si>
  <si>
    <t>每波最多1只</t>
  </si>
  <si>
    <t>M005</t>
  </si>
  <si>
    <t>狂暴狼</t>
  </si>
  <si>
    <t>190</t>
  </si>
  <si>
    <t>25</t>
  </si>
  <si>
    <t>3</t>
  </si>
  <si>
    <t>后排远程</t>
  </si>
  <si>
    <t>优先突袭弓手</t>
  </si>
  <si>
    <t>M006</t>
  </si>
  <si>
    <t>夜行狼</t>
  </si>
  <si>
    <t>特殊</t>
  </si>
  <si>
    <t>90</t>
  </si>
  <si>
    <t>13</t>
  </si>
  <si>
    <t>后排单位</t>
  </si>
  <si>
    <t>高移动速度</t>
  </si>
  <si>
    <t>M007</t>
  </si>
  <si>
    <t>腐牙狼</t>
  </si>
  <si>
    <t>100</t>
  </si>
  <si>
    <t>12</t>
  </si>
  <si>
    <t>随机目标</t>
  </si>
  <si>
    <t>命中后可附加短暂流血(可选)</t>
  </si>
  <si>
    <t>波次</t>
  </si>
  <si>
    <t>游戏日</t>
  </si>
  <si>
    <t>威胁系数</t>
  </si>
  <si>
    <t>瘦弱狼数量</t>
  </si>
  <si>
    <t>灰狼数量</t>
  </si>
  <si>
    <t>巨狼数量</t>
  </si>
  <si>
    <t>狂暴狼数量</t>
  </si>
  <si>
    <t>夜行狼数量</t>
  </si>
  <si>
    <t>腐牙狼数量</t>
  </si>
  <si>
    <t>狼群头目数量</t>
  </si>
  <si>
    <t>总敌人建议数</t>
  </si>
  <si>
    <t>设计目标</t>
  </si>
  <si>
    <t>教学波；低级围栏可勉强抵御</t>
  </si>
  <si>
    <t>要求玩家开始制作木剑/弓</t>
  </si>
  <si>
    <t>巨狼开始压迫围栏</t>
  </si>
  <si>
    <t>远程英雄价值提升</t>
  </si>
  <si>
    <t>中期压力；建议围栏5级左右</t>
  </si>
  <si>
    <t>首次头目战</t>
  </si>
  <si>
    <t>要求阵容分工和维修</t>
  </si>
  <si>
    <t>高压波</t>
  </si>
  <si>
    <t>终局准备</t>
  </si>
  <si>
    <t>最终狼群；围栏8-10级建议</t>
  </si>
  <si>
    <t>武器ID</t>
  </si>
  <si>
    <t>攻击加成</t>
  </si>
  <si>
    <t>攻速修正</t>
  </si>
  <si>
    <t>制作时间(秒)</t>
  </si>
  <si>
    <t>WPN001</t>
  </si>
  <si>
    <t>木棍</t>
  </si>
  <si>
    <t>近战</t>
  </si>
  <si>
    <t>0</t>
  </si>
  <si>
    <t>无门槛应急武器</t>
  </si>
  <si>
    <t>WPN002</t>
  </si>
  <si>
    <t>木剑</t>
  </si>
  <si>
    <t>基础主力武器</t>
  </si>
  <si>
    <t>WPN003</t>
  </si>
  <si>
    <t>简易弓</t>
  </si>
  <si>
    <t>远程</t>
  </si>
  <si>
    <t>4</t>
  </si>
  <si>
    <t>WPN004</t>
  </si>
  <si>
    <t>石刃短剑</t>
  </si>
  <si>
    <t>8</t>
  </si>
  <si>
    <t>中期升级</t>
  </si>
  <si>
    <t>WPN005</t>
  </si>
  <si>
    <t>强化长弓</t>
  </si>
  <si>
    <t>WPN006</t>
  </si>
  <si>
    <t>狼牙战斧</t>
  </si>
  <si>
    <t>公式ID</t>
  </si>
  <si>
    <t>推荐公式/逻辑</t>
  </si>
  <si>
    <t>参数说明</t>
  </si>
  <si>
    <t>数值示例</t>
  </si>
  <si>
    <t>F001</t>
  </si>
  <si>
    <t>角色最终HP</t>
  </si>
  <si>
    <t>FLOOR(基础HP×[1+0.08×(等级-1)])</t>
  </si>
  <si>
    <t>等级范围1-10；装备HP可另加</t>
  </si>
  <si>
    <t>基础HP=100、等级10 =&gt; 172</t>
  </si>
  <si>
    <t>F002</t>
  </si>
  <si>
    <t>角色最终攻击</t>
  </si>
  <si>
    <t>FLOOR(基础攻击×[1+0.07×(等级-1)]) + 武器攻击加成</t>
  </si>
  <si>
    <t>装备攻击直接加算</t>
  </si>
  <si>
    <t>基础攻击=10、等级10、木剑+5 =&gt; 21</t>
  </si>
  <si>
    <t>F003</t>
  </si>
  <si>
    <t>最终防御</t>
  </si>
  <si>
    <t>基础防御 + 围栏/护甲防御加成</t>
  </si>
  <si>
    <t>角色与建筑防御分别计算</t>
  </si>
  <si>
    <t>角色DEF=4、护甲DEF=2 =&gt; 6</t>
  </si>
  <si>
    <t>F004</t>
  </si>
  <si>
    <t>防御减伤率</t>
  </si>
  <si>
    <t>MIN(0.70, DEF / (DEF + 50))</t>
  </si>
  <si>
    <t>DEF为目标防御；减伤最多70%</t>
  </si>
  <si>
    <t>DEF=10 =&gt; 16.7%减伤</t>
  </si>
  <si>
    <t>F005</t>
  </si>
  <si>
    <t>单次伤害</t>
  </si>
  <si>
    <t>MAX(1, FLOOR(攻击力 × (1-目标减伤率)))</t>
  </si>
  <si>
    <t>命中后计算；建筑使用围栏防御</t>
  </si>
  <si>
    <t>ATK=20、DEF=10 =&gt; 16伤害</t>
  </si>
  <si>
    <t>F006</t>
  </si>
  <si>
    <t>命中判定</t>
  </si>
  <si>
    <t>随机数(0,1) &lt; CLAMP(命中率,0.05,0.98)</t>
  </si>
  <si>
    <t>避免必定命中/必定闪避</t>
  </si>
  <si>
    <t>命中率0.9 =&gt; 平均90%命中</t>
  </si>
  <si>
    <t>F007</t>
  </si>
  <si>
    <t>暴击判定</t>
  </si>
  <si>
    <t>随机数(0,1) &lt; 暴击率；暴击伤害=普通伤害×暴击倍率</t>
  </si>
  <si>
    <t>暴击率建议夹取0-0.75</t>
  </si>
  <si>
    <t>暴击率10%、倍率1.7</t>
  </si>
  <si>
    <t>F008</t>
  </si>
  <si>
    <t>每秒期望伤害DPS</t>
  </si>
  <si>
    <t>攻击力 × 攻速 × 命中率 × [1+暴击率×(暴击倍率-1)] × (1-目标减伤率)</t>
  </si>
  <si>
    <t>用于快速估算输出，不含走位/换目标</t>
  </si>
  <si>
    <t>ATK=15、攻速0.8、命中0.9、暴击5%×1.5、目标减伤20% =&gt; 8.86</t>
  </si>
  <si>
    <t>F009</t>
  </si>
  <si>
    <t>围栏承受伤害</t>
  </si>
  <si>
    <t>MAX(1,FLOOR(怪物攻击×(1-围栏减伤率)))</t>
  </si>
  <si>
    <t>围栏减伤率按围栏基础防御代入F004</t>
  </si>
  <si>
    <t>围栏DEF=5 =&gt; 9.1%减伤</t>
  </si>
  <si>
    <t>F010</t>
  </si>
  <si>
    <t>围栏升级成本</t>
  </si>
  <si>
    <t>按围栏等级表逐级支付对应木材/石头</t>
  </si>
  <si>
    <t>成本是从当前等级升至该行等级的成本</t>
  </si>
  <si>
    <t>建议不允许跳级</t>
  </si>
  <si>
    <t>F011</t>
  </si>
  <si>
    <t>采集量</t>
  </si>
  <si>
    <t>FLOOR(基础采集量×采集效率×[1+0.03×(等级-1)]×区域倍率)</t>
  </si>
  <si>
    <t>区域倍率可设为0.8-1.5</t>
  </si>
  <si>
    <t>基础5、效率1.2、等级5、区域1.1 =&gt; 7</t>
  </si>
  <si>
    <t>F012</t>
  </si>
  <si>
    <t>探索成功率</t>
  </si>
  <si>
    <t>CLAMP(0.35 + 0.10×探索能力 + 区域修正,0.10,0.95)</t>
  </si>
  <si>
    <t>探索能力使用角色属性；区域修正例如-0.2到+0.2</t>
  </si>
  <si>
    <t>探索能力1.4、区域修正0 =&gt; 49%</t>
  </si>
  <si>
    <t>F013</t>
  </si>
  <si>
    <t>狼群波次强度</t>
  </si>
  <si>
    <t>敌人最终HP/攻击 = 基础值×波次威胁系数</t>
  </si>
  <si>
    <t>可只对HP乘系数，攻击系数建议=1+0.25×(威胁系数-1)</t>
  </si>
  <si>
    <t>威胁2.0 =&gt; HP×2.0、攻击×1.25</t>
  </si>
  <si>
    <t>F014</t>
  </si>
  <si>
    <t>围栏被击破</t>
  </si>
  <si>
    <t>围栏HP&lt;=0时，狼进入营地并优先攻击人员/资源建筑</t>
  </si>
  <si>
    <t>可设置围栏破坏后维修，不自动回复</t>
  </si>
  <si>
    <t>避免玩家因一次失误直接失败</t>
  </si>
  <si>
    <t>基础木材</t>
  </si>
  <si>
    <t>基础石头</t>
  </si>
  <si>
    <t>检查项</t>
  </si>
  <si>
    <t>建议目标</t>
  </si>
  <si>
    <t>当前设计值/观察</t>
  </si>
  <si>
    <t>调整建议</t>
  </si>
  <si>
    <t>前两波容错</t>
  </si>
  <si>
    <t>玩家+2名队员可应对</t>
  </si>
  <si>
    <t>波次1约5只低级狼；波次2约6只</t>
  </si>
  <si>
    <t>若平均损失过大，波次1减少1只灰狼</t>
  </si>
  <si>
    <t>围栏升级节奏</t>
  </si>
  <si>
    <t>第10天前达到5级左右</t>
  </si>
  <si>
    <t>围栏1到5级累计木材160、石头37</t>
  </si>
  <si>
    <t>需通过白天派遣保证材料可获得</t>
  </si>
  <si>
    <t>招募节奏</t>
  </si>
  <si>
    <t>第10天前拥有4-6人</t>
  </si>
  <si>
    <t>最大上限10人</t>
  </si>
  <si>
    <t>每个流浪者需消耗食物维护，避免无成本堆人</t>
  </si>
  <si>
    <t>远程武器价值</t>
  </si>
  <si>
    <t>弓手可在接敌前输出1-3轮</t>
  </si>
  <si>
    <t>弓射程5-7；近战射程1</t>
  </si>
  <si>
    <t>地图通道长度影响远程强度</t>
  </si>
  <si>
    <t>维修经济</t>
  </si>
  <si>
    <t>夜间后允许维修但消耗材料</t>
  </si>
  <si>
    <t>维修成本随围栏等级上升</t>
  </si>
  <si>
    <t>建议围栏HP每波后不自动全恢复</t>
  </si>
  <si>
    <t>失败缓冲</t>
  </si>
  <si>
    <t>围栏破坏不直接判负</t>
  </si>
  <si>
    <t>狼进入营地造成资源损失/人员受伤</t>
  </si>
  <si>
    <t>保留翻盘空间，鼓励玩家次日补救</t>
  </si>
  <si>
    <t>属性防膨胀</t>
  </si>
  <si>
    <t>防御减伤封顶70%</t>
  </si>
  <si>
    <t>DEF/(DEF+50)，上限70%</t>
  </si>
  <si>
    <t>新增装备/技能时持续监控高防御单位</t>
  </si>
  <si>
    <t>说明项</t>
  </si>
  <si>
    <t>内容</t>
  </si>
  <si>
    <t>用途</t>
  </si>
  <si>
    <t>这是可直接导入/改造成游戏配置表的首轮平衡基线，不是最终实测平衡结果。</t>
  </si>
  <si>
    <t>字段约定</t>
  </si>
  <si>
    <t>数值型字段尽量使用纯数字；概率使用0-1小数；ID稳定唯一。</t>
  </si>
  <si>
    <t>战斗实现</t>
  </si>
  <si>
    <t>推荐先进行命中判定，再算暴击，最后按目标防御减伤；每次伤害至少为1。</t>
  </si>
  <si>
    <t>波次实现</t>
  </si>
  <si>
    <t>狼群波次表给出建议数量；可按围栏等级、营地人口、游戏日数动态微调。</t>
  </si>
  <si>
    <t>人口维护</t>
  </si>
  <si>
    <t>建议每名招募者每日消耗1食物；食物不足时采集效率或士气下降，避免10人阵容无代价。</t>
  </si>
  <si>
    <t>角色死亡</t>
  </si>
  <si>
    <t>建议角色倒地而非立即永久死亡；营救/治疗消耗食物或材料，减少挫败感。</t>
  </si>
  <si>
    <t>资源建议</t>
  </si>
  <si>
    <t>重要平衡点</t>
  </si>
  <si>
    <t>所有战斗数值都需要通过模拟器/实战数据校准，重点观察每波平均伤亡、围栏剩余HP、资源净收入。</t>
  </si>
  <si>
    <t>招募</t>
    <phoneticPr fontId="2" type="noConversion"/>
  </si>
  <si>
    <t>资源类型</t>
    <phoneticPr fontId="2" type="noConversion"/>
  </si>
  <si>
    <t>血量</t>
    <phoneticPr fontId="2" type="noConversion"/>
  </si>
  <si>
    <t>产出</t>
    <phoneticPr fontId="2" type="noConversion"/>
  </si>
  <si>
    <t>1级</t>
    <phoneticPr fontId="2" type="noConversion"/>
  </si>
  <si>
    <t>2级</t>
  </si>
  <si>
    <t>3级</t>
  </si>
  <si>
    <t>4级</t>
  </si>
  <si>
    <t>5级</t>
  </si>
  <si>
    <t>6级</t>
  </si>
  <si>
    <t>7级</t>
  </si>
  <si>
    <t>8级</t>
  </si>
  <si>
    <t>9级</t>
  </si>
  <si>
    <t>麻绳成本</t>
    <phoneticPr fontId="2" type="noConversion"/>
  </si>
  <si>
    <t>麻绳数量</t>
    <phoneticPr fontId="2" type="noConversion"/>
  </si>
  <si>
    <t>石头数量</t>
    <phoneticPr fontId="2" type="noConversion"/>
  </si>
  <si>
    <t>木材数量</t>
    <phoneticPr fontId="2" type="noConversion"/>
  </si>
  <si>
    <t>不需要箭矢</t>
    <phoneticPr fontId="2" type="noConversion"/>
  </si>
  <si>
    <t>优先装备巡林斥候</t>
    <phoneticPr fontId="2" type="noConversion"/>
  </si>
  <si>
    <t>击杀精英狼解锁</t>
    <phoneticPr fontId="2" type="noConversion"/>
  </si>
  <si>
    <t>基础麻绳:采集干草掉落</t>
    <phoneticPr fontId="2" type="noConversion"/>
  </si>
  <si>
    <t>资源</t>
    <phoneticPr fontId="2" type="noConversion"/>
  </si>
  <si>
    <t>基础资源：木材、石头、麻绳、食物；。可按实际玩法增删。</t>
    <phoneticPr fontId="2" type="noConversion"/>
  </si>
  <si>
    <t>距离营地越远 资源等级越高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</si>
</sst>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vertical="top" wrapText="1"/>
    </xf>
    <xf numFmtId="176" fontId="0" fillId="3" borderId="0" xfId="0" applyNumberFormat="1" applyFill="1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top" wrapText="1"/>
    </xf>
    <xf numFmtId="176" fontId="0" fillId="3" borderId="0" xfId="0" applyNumberFormat="1" applyFill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D15"/>
  <sheetViews>
    <sheetView showGridLines="0" workbookViewId="0">
      <pane ySplit="1" topLeftCell="A2" activePane="bottomLeft" state="frozen"/>
      <selection pane="bottomLeft" activeCell="C23" sqref="C23"/>
    </sheetView>
  </sheetViews>
  <sheetFormatPr defaultRowHeight="13.5" x14ac:dyDescent="0.15"/>
  <cols>
    <col min="1" max="1" width="35" customWidth="1"/>
    <col min="2" max="2" width="25.875" customWidth="1"/>
    <col min="3" max="3" width="12" customWidth="1"/>
    <col min="4" max="4" width="32" customWidth="1"/>
  </cols>
  <sheetData>
    <row r="1" spans="1:4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 t="s">
        <v>4</v>
      </c>
      <c r="B2" s="2" t="s">
        <v>5</v>
      </c>
      <c r="C2" s="2">
        <v>10</v>
      </c>
      <c r="D2" s="2" t="s">
        <v>6</v>
      </c>
    </row>
    <row r="3" spans="1:4" x14ac:dyDescent="0.15">
      <c r="A3" s="3" t="s">
        <v>7</v>
      </c>
      <c r="B3" s="3" t="s">
        <v>8</v>
      </c>
      <c r="C3" s="3">
        <v>10</v>
      </c>
      <c r="D3" s="3" t="s">
        <v>9</v>
      </c>
    </row>
    <row r="4" spans="1:4" x14ac:dyDescent="0.15">
      <c r="A4" s="2" t="s">
        <v>10</v>
      </c>
      <c r="B4" s="2" t="s">
        <v>11</v>
      </c>
      <c r="C4" s="2">
        <v>8</v>
      </c>
      <c r="D4" s="2" t="s">
        <v>12</v>
      </c>
    </row>
    <row r="5" spans="1:4" x14ac:dyDescent="0.15">
      <c r="A5" s="3" t="s">
        <v>13</v>
      </c>
      <c r="B5" s="3" t="s">
        <v>14</v>
      </c>
      <c r="C5" s="3">
        <v>4</v>
      </c>
      <c r="D5" s="3" t="s">
        <v>15</v>
      </c>
    </row>
    <row r="6" spans="1:4" ht="27" x14ac:dyDescent="0.15">
      <c r="A6" s="2" t="s">
        <v>16</v>
      </c>
      <c r="B6" s="2" t="s">
        <v>17</v>
      </c>
      <c r="C6" s="2">
        <v>2</v>
      </c>
      <c r="D6" s="2" t="s">
        <v>18</v>
      </c>
    </row>
    <row r="7" spans="1:4" x14ac:dyDescent="0.15">
      <c r="A7" s="3" t="s">
        <v>19</v>
      </c>
      <c r="B7" s="3" t="s">
        <v>20</v>
      </c>
      <c r="C7" s="3">
        <v>150</v>
      </c>
      <c r="D7" s="3" t="s">
        <v>21</v>
      </c>
    </row>
    <row r="8" spans="1:4" x14ac:dyDescent="0.15">
      <c r="A8" s="2" t="s">
        <v>22</v>
      </c>
      <c r="B8" s="2" t="s">
        <v>23</v>
      </c>
      <c r="C8" s="2">
        <v>12</v>
      </c>
      <c r="D8" s="2" t="s">
        <v>24</v>
      </c>
    </row>
    <row r="9" spans="1:4" x14ac:dyDescent="0.15">
      <c r="A9" s="3" t="s">
        <v>25</v>
      </c>
      <c r="B9" s="3" t="s">
        <v>26</v>
      </c>
      <c r="C9" s="3">
        <v>0.7</v>
      </c>
      <c r="D9" s="3" t="s">
        <v>27</v>
      </c>
    </row>
    <row r="10" spans="1:4" x14ac:dyDescent="0.15">
      <c r="A10" s="2" t="s">
        <v>28</v>
      </c>
      <c r="B10" s="2" t="s">
        <v>29</v>
      </c>
      <c r="C10" s="2">
        <v>1</v>
      </c>
      <c r="D10" s="2" t="s">
        <v>30</v>
      </c>
    </row>
    <row r="11" spans="1:4" x14ac:dyDescent="0.15">
      <c r="A11" s="3" t="s">
        <v>31</v>
      </c>
      <c r="B11" s="3" t="s">
        <v>32</v>
      </c>
      <c r="C11" s="3">
        <v>0.9</v>
      </c>
      <c r="D11" s="3" t="s">
        <v>33</v>
      </c>
    </row>
    <row r="12" spans="1:4" x14ac:dyDescent="0.15">
      <c r="A12" s="2" t="s">
        <v>34</v>
      </c>
      <c r="B12" s="2" t="s">
        <v>35</v>
      </c>
      <c r="C12" s="2">
        <v>0.05</v>
      </c>
      <c r="D12" s="2" t="s">
        <v>36</v>
      </c>
    </row>
    <row r="13" spans="1:4" x14ac:dyDescent="0.15">
      <c r="A13" s="3" t="s">
        <v>37</v>
      </c>
      <c r="B13" s="3" t="s">
        <v>38</v>
      </c>
      <c r="C13" s="3">
        <v>1.5</v>
      </c>
      <c r="D13" s="3" t="s">
        <v>39</v>
      </c>
    </row>
    <row r="14" spans="1:4" x14ac:dyDescent="0.15">
      <c r="A14" s="2" t="s">
        <v>40</v>
      </c>
      <c r="B14" s="2" t="s">
        <v>41</v>
      </c>
      <c r="C14" s="2">
        <v>5</v>
      </c>
      <c r="D14" s="2" t="s">
        <v>42</v>
      </c>
    </row>
    <row r="15" spans="1:4" x14ac:dyDescent="0.15">
      <c r="A15" s="3" t="s">
        <v>43</v>
      </c>
      <c r="B15" s="3" t="s">
        <v>44</v>
      </c>
      <c r="C15" s="3">
        <v>0.15</v>
      </c>
      <c r="D15" s="3" t="s">
        <v>45</v>
      </c>
    </row>
  </sheetData>
  <autoFilter ref="A1:D1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Q13"/>
  <sheetViews>
    <sheetView showGridLines="0" workbookViewId="0">
      <pane ySplit="1" topLeftCell="A2" activePane="bottomLeft" state="frozen"/>
      <selection pane="bottomLeft" activeCell="G18" sqref="G18"/>
    </sheetView>
  </sheetViews>
  <sheetFormatPr defaultRowHeight="13.5" x14ac:dyDescent="0.15"/>
  <cols>
    <col min="1" max="3" width="12" customWidth="1"/>
    <col min="4" max="4" width="14" customWidth="1"/>
    <col min="5" max="7" width="12" customWidth="1"/>
    <col min="8" max="8" width="12.5" customWidth="1"/>
    <col min="9" max="16" width="12" customWidth="1"/>
    <col min="17" max="17" width="33.5" customWidth="1"/>
  </cols>
  <sheetData>
    <row r="1" spans="1:17" ht="30" customHeight="1" x14ac:dyDescent="0.15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</row>
    <row r="2" spans="1:17" x14ac:dyDescent="0.1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</row>
    <row r="3" spans="1:17" x14ac:dyDescent="0.15">
      <c r="A3" s="3" t="s">
        <v>63</v>
      </c>
      <c r="B3" s="3" t="s">
        <v>64</v>
      </c>
      <c r="C3" s="3" t="s">
        <v>64</v>
      </c>
      <c r="D3" s="3" t="s">
        <v>65</v>
      </c>
      <c r="E3" s="3">
        <v>150</v>
      </c>
      <c r="F3" s="3">
        <v>12</v>
      </c>
      <c r="G3" s="3">
        <v>5</v>
      </c>
      <c r="H3" s="3">
        <v>0.8</v>
      </c>
      <c r="I3" s="3">
        <v>1</v>
      </c>
      <c r="J3" s="5">
        <v>0.9</v>
      </c>
      <c r="K3" s="5">
        <v>0.05</v>
      </c>
      <c r="L3" s="3">
        <v>1.5</v>
      </c>
      <c r="M3" s="3">
        <v>1</v>
      </c>
      <c r="N3" s="3">
        <v>1</v>
      </c>
      <c r="O3" s="3">
        <v>0.5</v>
      </c>
      <c r="P3" s="3">
        <v>1</v>
      </c>
      <c r="Q3" s="3" t="s">
        <v>66</v>
      </c>
    </row>
    <row r="4" spans="1:17" x14ac:dyDescent="0.15">
      <c r="A4" s="2" t="s">
        <v>67</v>
      </c>
      <c r="B4" s="2" t="s">
        <v>68</v>
      </c>
      <c r="C4" s="2" t="s">
        <v>69</v>
      </c>
      <c r="D4" s="2" t="s">
        <v>379</v>
      </c>
      <c r="E4" s="2">
        <v>110</v>
      </c>
      <c r="F4" s="2">
        <v>10</v>
      </c>
      <c r="G4" s="2">
        <v>4</v>
      </c>
      <c r="H4" s="2">
        <v>0.9</v>
      </c>
      <c r="I4" s="2">
        <v>1</v>
      </c>
      <c r="J4" s="6">
        <v>0.88</v>
      </c>
      <c r="K4" s="6">
        <v>0.04</v>
      </c>
      <c r="L4" s="2">
        <v>1.5</v>
      </c>
      <c r="M4" s="2">
        <v>0.5</v>
      </c>
      <c r="N4" s="2">
        <v>0.4</v>
      </c>
      <c r="O4" s="2">
        <v>0.3</v>
      </c>
      <c r="P4" s="2">
        <v>1</v>
      </c>
      <c r="Q4" s="2" t="s">
        <v>70</v>
      </c>
    </row>
    <row r="5" spans="1:17" x14ac:dyDescent="0.15">
      <c r="A5" s="3" t="s">
        <v>71</v>
      </c>
      <c r="B5" s="3" t="s">
        <v>72</v>
      </c>
      <c r="C5" s="3" t="s">
        <v>69</v>
      </c>
      <c r="D5" s="2" t="s">
        <v>379</v>
      </c>
      <c r="E5" s="3">
        <v>85</v>
      </c>
      <c r="F5" s="3">
        <v>13</v>
      </c>
      <c r="G5" s="3">
        <v>2</v>
      </c>
      <c r="H5" s="3">
        <v>0.75</v>
      </c>
      <c r="I5" s="3">
        <v>5</v>
      </c>
      <c r="J5" s="5">
        <v>0.86</v>
      </c>
      <c r="K5" s="5">
        <v>0.08</v>
      </c>
      <c r="L5" s="3">
        <v>1.6</v>
      </c>
      <c r="M5" s="3">
        <v>1.2</v>
      </c>
      <c r="N5" s="3">
        <v>0.8</v>
      </c>
      <c r="O5" s="3">
        <v>0.5</v>
      </c>
      <c r="P5" s="3">
        <v>1.05</v>
      </c>
      <c r="Q5" s="3" t="s">
        <v>73</v>
      </c>
    </row>
    <row r="6" spans="1:17" x14ac:dyDescent="0.15">
      <c r="A6" s="2" t="s">
        <v>74</v>
      </c>
      <c r="B6" s="2" t="s">
        <v>75</v>
      </c>
      <c r="C6" s="2" t="s">
        <v>69</v>
      </c>
      <c r="D6" s="2" t="s">
        <v>379</v>
      </c>
      <c r="E6" s="2">
        <v>100</v>
      </c>
      <c r="F6" s="2">
        <v>8</v>
      </c>
      <c r="G6" s="2">
        <v>5</v>
      </c>
      <c r="H6" s="2">
        <v>0.7</v>
      </c>
      <c r="I6" s="2">
        <v>1</v>
      </c>
      <c r="J6" s="6">
        <v>0.82</v>
      </c>
      <c r="K6" s="6">
        <v>0.03</v>
      </c>
      <c r="L6" s="2">
        <v>1.5</v>
      </c>
      <c r="M6" s="2">
        <v>1.3</v>
      </c>
      <c r="N6" s="2">
        <v>0.7</v>
      </c>
      <c r="O6" s="2">
        <v>0.9</v>
      </c>
      <c r="P6" s="2">
        <v>0.9</v>
      </c>
      <c r="Q6" s="2" t="s">
        <v>76</v>
      </c>
    </row>
    <row r="7" spans="1:17" x14ac:dyDescent="0.15">
      <c r="A7" s="3" t="s">
        <v>77</v>
      </c>
      <c r="B7" s="3" t="s">
        <v>78</v>
      </c>
      <c r="C7" s="3" t="s">
        <v>69</v>
      </c>
      <c r="D7" s="2" t="s">
        <v>379</v>
      </c>
      <c r="E7" s="3">
        <v>125</v>
      </c>
      <c r="F7" s="3">
        <v>16</v>
      </c>
      <c r="G7" s="3">
        <v>4</v>
      </c>
      <c r="H7" s="3">
        <v>0.95</v>
      </c>
      <c r="I7" s="3">
        <v>1</v>
      </c>
      <c r="J7" s="5">
        <v>0.91</v>
      </c>
      <c r="K7" s="5">
        <v>0.1</v>
      </c>
      <c r="L7" s="3">
        <v>1.7</v>
      </c>
      <c r="M7" s="3">
        <v>0.6</v>
      </c>
      <c r="N7" s="3">
        <v>0.9</v>
      </c>
      <c r="O7" s="3">
        <v>0.6</v>
      </c>
      <c r="P7" s="3">
        <v>1.1000000000000001</v>
      </c>
      <c r="Q7" s="3" t="s">
        <v>79</v>
      </c>
    </row>
    <row r="8" spans="1:17" x14ac:dyDescent="0.15">
      <c r="A8" s="2" t="s">
        <v>80</v>
      </c>
      <c r="B8" s="2" t="s">
        <v>81</v>
      </c>
      <c r="C8" s="2" t="s">
        <v>69</v>
      </c>
      <c r="D8" s="2" t="s">
        <v>379</v>
      </c>
      <c r="E8" s="2">
        <v>80</v>
      </c>
      <c r="F8" s="2">
        <v>9</v>
      </c>
      <c r="G8" s="2">
        <v>2</v>
      </c>
      <c r="H8" s="2">
        <v>0.85</v>
      </c>
      <c r="I8" s="2">
        <v>6</v>
      </c>
      <c r="J8" s="6">
        <v>0.9</v>
      </c>
      <c r="K8" s="6">
        <v>0.12</v>
      </c>
      <c r="L8" s="2">
        <v>1.6</v>
      </c>
      <c r="M8" s="2">
        <v>0.9</v>
      </c>
      <c r="N8" s="2">
        <v>1.4</v>
      </c>
      <c r="O8" s="2">
        <v>0.4</v>
      </c>
      <c r="P8" s="2">
        <v>1.2</v>
      </c>
      <c r="Q8" s="2" t="s">
        <v>82</v>
      </c>
    </row>
    <row r="9" spans="1:17" x14ac:dyDescent="0.15">
      <c r="A9" s="3" t="s">
        <v>83</v>
      </c>
      <c r="B9" s="3" t="s">
        <v>84</v>
      </c>
      <c r="C9" s="3" t="s">
        <v>69</v>
      </c>
      <c r="D9" s="2" t="s">
        <v>379</v>
      </c>
      <c r="E9" s="3">
        <v>90</v>
      </c>
      <c r="F9" s="3">
        <v>7</v>
      </c>
      <c r="G9" s="3">
        <v>3</v>
      </c>
      <c r="H9" s="3">
        <v>0.75</v>
      </c>
      <c r="I9" s="3">
        <v>1</v>
      </c>
      <c r="J9" s="5">
        <v>0.82</v>
      </c>
      <c r="K9" s="5">
        <v>0.02</v>
      </c>
      <c r="L9" s="3">
        <v>1.5</v>
      </c>
      <c r="M9" s="3">
        <v>0.8</v>
      </c>
      <c r="N9" s="3">
        <v>0.6</v>
      </c>
      <c r="O9" s="3">
        <v>1.4</v>
      </c>
      <c r="P9" s="3">
        <v>0.95</v>
      </c>
      <c r="Q9" s="3" t="s">
        <v>85</v>
      </c>
    </row>
    <row r="10" spans="1:17" ht="27" x14ac:dyDescent="0.15">
      <c r="A10" s="2" t="s">
        <v>86</v>
      </c>
      <c r="B10" s="2" t="s">
        <v>87</v>
      </c>
      <c r="C10" s="2" t="s">
        <v>69</v>
      </c>
      <c r="D10" s="2" t="s">
        <v>379</v>
      </c>
      <c r="E10" s="2">
        <v>155</v>
      </c>
      <c r="F10" s="2">
        <v>15</v>
      </c>
      <c r="G10" s="2">
        <v>8</v>
      </c>
      <c r="H10" s="2">
        <v>0.85</v>
      </c>
      <c r="I10" s="2">
        <v>1</v>
      </c>
      <c r="J10" s="6">
        <v>0.92</v>
      </c>
      <c r="K10" s="6">
        <v>0.08</v>
      </c>
      <c r="L10" s="2">
        <v>1.7</v>
      </c>
      <c r="M10" s="2">
        <v>0.5</v>
      </c>
      <c r="N10" s="2">
        <v>0.8</v>
      </c>
      <c r="O10" s="2">
        <v>0.7</v>
      </c>
      <c r="P10" s="2">
        <v>0.95</v>
      </c>
      <c r="Q10" s="2" t="s">
        <v>88</v>
      </c>
    </row>
    <row r="11" spans="1:17" x14ac:dyDescent="0.15">
      <c r="A11" s="3" t="s">
        <v>89</v>
      </c>
      <c r="B11" s="3" t="s">
        <v>90</v>
      </c>
      <c r="C11" s="3" t="s">
        <v>91</v>
      </c>
      <c r="D11" s="2" t="s">
        <v>379</v>
      </c>
      <c r="E11" s="3">
        <v>75</v>
      </c>
      <c r="F11" s="3">
        <v>6</v>
      </c>
      <c r="G11" s="3">
        <v>1</v>
      </c>
      <c r="H11" s="3">
        <v>0.7</v>
      </c>
      <c r="I11" s="3">
        <v>1</v>
      </c>
      <c r="J11" s="5">
        <v>0.78</v>
      </c>
      <c r="K11" s="5">
        <v>0.02</v>
      </c>
      <c r="L11" s="3">
        <v>1.5</v>
      </c>
      <c r="M11" s="3">
        <v>1</v>
      </c>
      <c r="N11" s="3">
        <v>0.6</v>
      </c>
      <c r="O11" s="3">
        <v>0.3</v>
      </c>
      <c r="P11" s="3">
        <v>0.95</v>
      </c>
      <c r="Q11" s="3" t="s">
        <v>92</v>
      </c>
    </row>
    <row r="12" spans="1:17" x14ac:dyDescent="0.15">
      <c r="A12" s="2" t="s">
        <v>93</v>
      </c>
      <c r="B12" s="2" t="s">
        <v>94</v>
      </c>
      <c r="C12" s="2" t="s">
        <v>91</v>
      </c>
      <c r="D12" s="2" t="s">
        <v>379</v>
      </c>
      <c r="E12" s="2">
        <v>105</v>
      </c>
      <c r="F12" s="2">
        <v>8</v>
      </c>
      <c r="G12" s="2">
        <v>3</v>
      </c>
      <c r="H12" s="2">
        <v>0.75</v>
      </c>
      <c r="I12" s="2">
        <v>1</v>
      </c>
      <c r="J12" s="6">
        <v>0.82</v>
      </c>
      <c r="K12" s="6">
        <v>0.03</v>
      </c>
      <c r="L12" s="2">
        <v>1.5</v>
      </c>
      <c r="M12" s="2">
        <v>1.2</v>
      </c>
      <c r="N12" s="2">
        <v>0.7</v>
      </c>
      <c r="O12" s="2">
        <v>0.3</v>
      </c>
      <c r="P12" s="2">
        <v>0.9</v>
      </c>
      <c r="Q12" s="2" t="s">
        <v>95</v>
      </c>
    </row>
    <row r="13" spans="1:17" x14ac:dyDescent="0.15">
      <c r="A13" s="3" t="s">
        <v>96</v>
      </c>
      <c r="B13" s="3" t="s">
        <v>97</v>
      </c>
      <c r="C13" s="3" t="s">
        <v>91</v>
      </c>
      <c r="D13" s="2" t="s">
        <v>379</v>
      </c>
      <c r="E13" s="3">
        <v>65</v>
      </c>
      <c r="F13" s="3">
        <v>7</v>
      </c>
      <c r="G13" s="3">
        <v>1</v>
      </c>
      <c r="H13" s="3">
        <v>0.85</v>
      </c>
      <c r="I13" s="3">
        <v>4</v>
      </c>
      <c r="J13" s="5">
        <v>0.86</v>
      </c>
      <c r="K13" s="5">
        <v>0.06</v>
      </c>
      <c r="L13" s="3">
        <v>1.6</v>
      </c>
      <c r="M13" s="3">
        <v>0.85</v>
      </c>
      <c r="N13" s="3">
        <v>1.1000000000000001</v>
      </c>
      <c r="O13" s="3">
        <v>0.4</v>
      </c>
      <c r="P13" s="3">
        <v>1.1499999999999999</v>
      </c>
      <c r="Q13" s="3" t="s">
        <v>98</v>
      </c>
    </row>
  </sheetData>
  <autoFilter ref="A1:Q13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D10"/>
  <sheetViews>
    <sheetView showGridLines="0" workbookViewId="0">
      <pane ySplit="1" topLeftCell="A2" activePane="bottomLeft" state="frozen"/>
      <selection pane="bottomLeft" activeCell="D20" sqref="D20"/>
    </sheetView>
  </sheetViews>
  <sheetFormatPr defaultRowHeight="13.5" x14ac:dyDescent="0.15"/>
  <cols>
    <col min="1" max="1" width="12" customWidth="1"/>
    <col min="2" max="2" width="27.25" customWidth="1"/>
    <col min="3" max="3" width="46.125" customWidth="1"/>
    <col min="4" max="4" width="26" customWidth="1"/>
  </cols>
  <sheetData>
    <row r="1" spans="1:4" ht="30" customHeight="1" x14ac:dyDescent="0.15">
      <c r="A1" s="4" t="s">
        <v>99</v>
      </c>
      <c r="B1" s="4" t="s">
        <v>100</v>
      </c>
      <c r="C1" s="4" t="s">
        <v>101</v>
      </c>
      <c r="D1" s="4" t="s">
        <v>3</v>
      </c>
    </row>
    <row r="2" spans="1:4" x14ac:dyDescent="0.15">
      <c r="A2" s="2" t="s">
        <v>99</v>
      </c>
      <c r="B2" s="2" t="s">
        <v>100</v>
      </c>
      <c r="C2" s="2" t="s">
        <v>101</v>
      </c>
      <c r="D2" s="2" t="s">
        <v>3</v>
      </c>
    </row>
    <row r="3" spans="1:4" ht="27" x14ac:dyDescent="0.15">
      <c r="A3" s="3" t="s">
        <v>102</v>
      </c>
      <c r="B3" s="3" t="s">
        <v>103</v>
      </c>
      <c r="C3" s="3" t="s">
        <v>104</v>
      </c>
      <c r="D3" s="3" t="s">
        <v>105</v>
      </c>
    </row>
    <row r="4" spans="1:4" x14ac:dyDescent="0.15">
      <c r="A4" s="2" t="s">
        <v>106</v>
      </c>
      <c r="B4" s="2" t="s">
        <v>107</v>
      </c>
      <c r="C4" s="2" t="s">
        <v>108</v>
      </c>
      <c r="D4" s="2" t="s">
        <v>109</v>
      </c>
    </row>
    <row r="5" spans="1:4" x14ac:dyDescent="0.15">
      <c r="A5" s="3" t="s">
        <v>110</v>
      </c>
      <c r="B5" s="3" t="s">
        <v>111</v>
      </c>
      <c r="C5" s="3" t="s">
        <v>112</v>
      </c>
      <c r="D5" s="3" t="s">
        <v>109</v>
      </c>
    </row>
    <row r="6" spans="1:4" x14ac:dyDescent="0.15">
      <c r="A6" s="2" t="s">
        <v>113</v>
      </c>
      <c r="B6" s="2" t="s">
        <v>114</v>
      </c>
      <c r="C6" s="2" t="s">
        <v>115</v>
      </c>
      <c r="D6" s="2" t="s">
        <v>116</v>
      </c>
    </row>
    <row r="7" spans="1:4" x14ac:dyDescent="0.15">
      <c r="A7" s="3" t="s">
        <v>117</v>
      </c>
      <c r="B7" s="3" t="s">
        <v>118</v>
      </c>
      <c r="C7" s="3" t="s">
        <v>119</v>
      </c>
      <c r="D7" s="3" t="s">
        <v>120</v>
      </c>
    </row>
    <row r="8" spans="1:4" ht="27" x14ac:dyDescent="0.15">
      <c r="A8" s="2" t="s">
        <v>121</v>
      </c>
      <c r="B8" s="2" t="s">
        <v>122</v>
      </c>
      <c r="C8" s="2" t="s">
        <v>123</v>
      </c>
      <c r="D8" s="2" t="s">
        <v>124</v>
      </c>
    </row>
    <row r="9" spans="1:4" x14ac:dyDescent="0.15">
      <c r="A9" s="3" t="s">
        <v>125</v>
      </c>
      <c r="B9" s="3" t="s">
        <v>126</v>
      </c>
      <c r="C9" s="3" t="s">
        <v>127</v>
      </c>
      <c r="D9" s="3" t="s">
        <v>128</v>
      </c>
    </row>
    <row r="10" spans="1:4" x14ac:dyDescent="0.15">
      <c r="A10" s="2" t="s">
        <v>129</v>
      </c>
      <c r="B10" s="2" t="s">
        <v>130</v>
      </c>
      <c r="C10" s="2" t="s">
        <v>131</v>
      </c>
      <c r="D10" s="2" t="s">
        <v>132</v>
      </c>
    </row>
  </sheetData>
  <autoFilter ref="A1:D10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H12"/>
  <sheetViews>
    <sheetView showGridLines="0" workbookViewId="0">
      <pane ySplit="1" topLeftCell="A2" activePane="bottomLeft" state="frozen"/>
      <selection pane="bottomLeft" activeCell="H19" sqref="H19"/>
    </sheetView>
  </sheetViews>
  <sheetFormatPr defaultRowHeight="13.5" x14ac:dyDescent="0.15"/>
  <cols>
    <col min="1" max="1" width="14" style="9" customWidth="1"/>
    <col min="2" max="2" width="14.375" style="9" customWidth="1"/>
    <col min="3" max="3" width="15.875" style="9" customWidth="1"/>
    <col min="4" max="4" width="15.125" style="9" customWidth="1"/>
    <col min="5" max="5" width="14.25" style="9" customWidth="1"/>
    <col min="6" max="6" width="16.25" style="9" customWidth="1"/>
    <col min="7" max="7" width="15.625" style="9" customWidth="1"/>
    <col min="8" max="8" width="58.5" customWidth="1"/>
  </cols>
  <sheetData>
    <row r="1" spans="1:8" ht="30" customHeight="1" x14ac:dyDescent="0.15">
      <c r="A1" s="4" t="s">
        <v>133</v>
      </c>
      <c r="B1" s="4" t="s">
        <v>134</v>
      </c>
      <c r="C1" s="4" t="s">
        <v>52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</row>
    <row r="2" spans="1:8" x14ac:dyDescent="0.15">
      <c r="A2" s="7" t="s">
        <v>133</v>
      </c>
      <c r="B2" s="7" t="s">
        <v>134</v>
      </c>
      <c r="C2" s="7" t="s">
        <v>52</v>
      </c>
      <c r="D2" s="7" t="s">
        <v>395</v>
      </c>
      <c r="E2" s="7" t="s">
        <v>394</v>
      </c>
      <c r="F2" s="7" t="s">
        <v>137</v>
      </c>
      <c r="G2" s="7" t="s">
        <v>138</v>
      </c>
      <c r="H2" s="2" t="s">
        <v>139</v>
      </c>
    </row>
    <row r="3" spans="1:8" x14ac:dyDescent="0.15">
      <c r="A3" s="8">
        <v>1</v>
      </c>
      <c r="B3" s="8">
        <v>200</v>
      </c>
      <c r="C3" s="8">
        <v>0</v>
      </c>
      <c r="D3" s="8">
        <v>0</v>
      </c>
      <c r="E3" s="8">
        <v>0</v>
      </c>
      <c r="F3" s="8">
        <v>3</v>
      </c>
      <c r="G3" s="8">
        <v>0</v>
      </c>
      <c r="H3" s="3" t="s">
        <v>140</v>
      </c>
    </row>
    <row r="4" spans="1:8" x14ac:dyDescent="0.15">
      <c r="A4" s="7">
        <v>2</v>
      </c>
      <c r="B4" s="7">
        <v>300</v>
      </c>
      <c r="C4" s="7">
        <v>1</v>
      </c>
      <c r="D4" s="7">
        <v>20</v>
      </c>
      <c r="E4" s="7">
        <v>0</v>
      </c>
      <c r="F4" s="7">
        <v>4</v>
      </c>
      <c r="G4" s="7">
        <v>0</v>
      </c>
      <c r="H4" s="2" t="s">
        <v>141</v>
      </c>
    </row>
    <row r="5" spans="1:8" x14ac:dyDescent="0.15">
      <c r="A5" s="8">
        <v>3</v>
      </c>
      <c r="B5" s="8">
        <v>430</v>
      </c>
      <c r="C5" s="8">
        <v>2</v>
      </c>
      <c r="D5" s="8">
        <v>35</v>
      </c>
      <c r="E5" s="8">
        <v>5</v>
      </c>
      <c r="F5" s="8">
        <v>5</v>
      </c>
      <c r="G5" s="8">
        <v>0</v>
      </c>
      <c r="H5" s="3" t="s">
        <v>142</v>
      </c>
    </row>
    <row r="6" spans="1:8" x14ac:dyDescent="0.15">
      <c r="A6" s="7">
        <v>4</v>
      </c>
      <c r="B6" s="7">
        <v>580</v>
      </c>
      <c r="C6" s="7">
        <v>3</v>
      </c>
      <c r="D6" s="7">
        <v>45</v>
      </c>
      <c r="E6" s="7">
        <v>12</v>
      </c>
      <c r="F6" s="7">
        <v>6</v>
      </c>
      <c r="G6" s="7">
        <v>1</v>
      </c>
      <c r="H6" s="2" t="s">
        <v>143</v>
      </c>
    </row>
    <row r="7" spans="1:8" x14ac:dyDescent="0.15">
      <c r="A7" s="8">
        <v>5</v>
      </c>
      <c r="B7" s="8">
        <v>760</v>
      </c>
      <c r="C7" s="8">
        <v>4</v>
      </c>
      <c r="D7" s="8">
        <v>60</v>
      </c>
      <c r="E7" s="8">
        <v>20</v>
      </c>
      <c r="F7" s="8">
        <v>7</v>
      </c>
      <c r="G7" s="8">
        <v>2</v>
      </c>
      <c r="H7" s="3" t="s">
        <v>144</v>
      </c>
    </row>
    <row r="8" spans="1:8" x14ac:dyDescent="0.15">
      <c r="A8" s="7">
        <v>6</v>
      </c>
      <c r="B8" s="7">
        <v>970</v>
      </c>
      <c r="C8" s="7">
        <v>5</v>
      </c>
      <c r="D8" s="7">
        <v>75</v>
      </c>
      <c r="E8" s="7">
        <v>30</v>
      </c>
      <c r="F8" s="7">
        <v>8</v>
      </c>
      <c r="G8" s="7">
        <v>3</v>
      </c>
      <c r="H8" s="2" t="s">
        <v>145</v>
      </c>
    </row>
    <row r="9" spans="1:8" x14ac:dyDescent="0.15">
      <c r="A9" s="8">
        <v>7</v>
      </c>
      <c r="B9" s="8">
        <v>1210</v>
      </c>
      <c r="C9" s="8">
        <v>7</v>
      </c>
      <c r="D9" s="8">
        <v>90</v>
      </c>
      <c r="E9" s="8">
        <v>45</v>
      </c>
      <c r="F9" s="8">
        <v>9</v>
      </c>
      <c r="G9" s="8">
        <v>4</v>
      </c>
      <c r="H9" s="3" t="s">
        <v>146</v>
      </c>
    </row>
    <row r="10" spans="1:8" x14ac:dyDescent="0.15">
      <c r="A10" s="7">
        <v>8</v>
      </c>
      <c r="B10" s="7">
        <v>1480</v>
      </c>
      <c r="C10" s="7">
        <v>9</v>
      </c>
      <c r="D10" s="7">
        <v>110</v>
      </c>
      <c r="E10" s="7">
        <v>60</v>
      </c>
      <c r="F10" s="7">
        <v>10</v>
      </c>
      <c r="G10" s="7">
        <v>5</v>
      </c>
      <c r="H10" s="2" t="s">
        <v>147</v>
      </c>
    </row>
    <row r="11" spans="1:8" x14ac:dyDescent="0.15">
      <c r="A11" s="8">
        <v>9</v>
      </c>
      <c r="B11" s="8">
        <v>1780</v>
      </c>
      <c r="C11" s="8">
        <v>11</v>
      </c>
      <c r="D11" s="8">
        <v>135</v>
      </c>
      <c r="E11" s="8">
        <v>80</v>
      </c>
      <c r="F11" s="8">
        <v>12</v>
      </c>
      <c r="G11" s="8">
        <v>6</v>
      </c>
      <c r="H11" s="3" t="s">
        <v>148</v>
      </c>
    </row>
    <row r="12" spans="1:8" x14ac:dyDescent="0.15">
      <c r="A12" s="7">
        <v>10</v>
      </c>
      <c r="B12" s="7">
        <v>2120</v>
      </c>
      <c r="C12" s="7">
        <v>14</v>
      </c>
      <c r="D12" s="7">
        <v>165</v>
      </c>
      <c r="E12" s="7">
        <v>105</v>
      </c>
      <c r="F12" s="7">
        <v>14</v>
      </c>
      <c r="G12" s="7">
        <v>8</v>
      </c>
      <c r="H12" s="2" t="s">
        <v>149</v>
      </c>
    </row>
  </sheetData>
  <autoFilter ref="A1:H12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P9"/>
  <sheetViews>
    <sheetView showGridLines="0" workbookViewId="0">
      <pane ySplit="1" topLeftCell="A2" activePane="bottomLeft" state="frozen"/>
      <selection pane="bottomLeft" activeCell="H26" sqref="H26"/>
    </sheetView>
  </sheetViews>
  <sheetFormatPr defaultRowHeight="13.5" x14ac:dyDescent="0.15"/>
  <cols>
    <col min="1" max="6" width="12" style="9" customWidth="1"/>
    <col min="7" max="7" width="12.5" style="9" customWidth="1"/>
    <col min="8" max="11" width="12" style="9" customWidth="1"/>
    <col min="12" max="12" width="12.5" style="9" customWidth="1"/>
    <col min="13" max="15" width="12" style="9" customWidth="1"/>
    <col min="16" max="16" width="23" style="9" customWidth="1"/>
  </cols>
  <sheetData>
    <row r="1" spans="1:16" ht="30" customHeight="1" x14ac:dyDescent="0.15">
      <c r="A1" s="4" t="s">
        <v>150</v>
      </c>
      <c r="B1" s="4" t="s">
        <v>151</v>
      </c>
      <c r="C1" s="4" t="s">
        <v>152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55</v>
      </c>
      <c r="I1" s="4" t="s">
        <v>56</v>
      </c>
      <c r="J1" s="4" t="s">
        <v>57</v>
      </c>
      <c r="K1" s="4" t="s">
        <v>61</v>
      </c>
      <c r="L1" s="4" t="s">
        <v>153</v>
      </c>
      <c r="M1" s="4" t="s">
        <v>154</v>
      </c>
      <c r="N1" s="4" t="s">
        <v>155</v>
      </c>
      <c r="O1" s="4" t="s">
        <v>156</v>
      </c>
      <c r="P1" s="4" t="s">
        <v>157</v>
      </c>
    </row>
    <row r="2" spans="1:16" x14ac:dyDescent="0.15">
      <c r="A2" s="7" t="s">
        <v>150</v>
      </c>
      <c r="B2" s="7" t="s">
        <v>151</v>
      </c>
      <c r="C2" s="7" t="s">
        <v>152</v>
      </c>
      <c r="D2" s="7" t="s">
        <v>50</v>
      </c>
      <c r="E2" s="7" t="s">
        <v>51</v>
      </c>
      <c r="F2" s="7" t="s">
        <v>52</v>
      </c>
      <c r="G2" s="7" t="s">
        <v>53</v>
      </c>
      <c r="H2" s="7" t="s">
        <v>55</v>
      </c>
      <c r="I2" s="7" t="s">
        <v>56</v>
      </c>
      <c r="J2" s="7" t="s">
        <v>57</v>
      </c>
      <c r="K2" s="7" t="s">
        <v>61</v>
      </c>
      <c r="L2" s="7" t="s">
        <v>153</v>
      </c>
      <c r="M2" s="7" t="s">
        <v>154</v>
      </c>
      <c r="N2" s="7" t="s">
        <v>155</v>
      </c>
      <c r="O2" s="7" t="s">
        <v>156</v>
      </c>
      <c r="P2" s="7" t="s">
        <v>157</v>
      </c>
    </row>
    <row r="3" spans="1:16" x14ac:dyDescent="0.15">
      <c r="A3" s="8" t="s">
        <v>158</v>
      </c>
      <c r="B3" s="8" t="s">
        <v>159</v>
      </c>
      <c r="C3" s="8" t="s">
        <v>160</v>
      </c>
      <c r="D3" s="8" t="s">
        <v>161</v>
      </c>
      <c r="E3" s="8" t="s">
        <v>162</v>
      </c>
      <c r="F3" s="8" t="s">
        <v>163</v>
      </c>
      <c r="G3" s="8">
        <v>1</v>
      </c>
      <c r="H3" s="11">
        <v>0.82</v>
      </c>
      <c r="I3" s="11">
        <v>0.03</v>
      </c>
      <c r="J3" s="8">
        <v>1.5</v>
      </c>
      <c r="K3" s="8">
        <v>1.2</v>
      </c>
      <c r="L3" s="8" t="s">
        <v>164</v>
      </c>
      <c r="M3" s="8">
        <v>1</v>
      </c>
      <c r="N3" s="8">
        <v>0</v>
      </c>
      <c r="O3" s="8">
        <v>1</v>
      </c>
      <c r="P3" s="8" t="s">
        <v>165</v>
      </c>
    </row>
    <row r="4" spans="1:16" x14ac:dyDescent="0.15">
      <c r="A4" s="7" t="s">
        <v>166</v>
      </c>
      <c r="B4" s="7" t="s">
        <v>167</v>
      </c>
      <c r="C4" s="7" t="s">
        <v>160</v>
      </c>
      <c r="D4" s="7" t="s">
        <v>168</v>
      </c>
      <c r="E4" s="7" t="s">
        <v>169</v>
      </c>
      <c r="F4" s="7" t="s">
        <v>170</v>
      </c>
      <c r="G4" s="7">
        <v>0.9</v>
      </c>
      <c r="H4" s="12">
        <v>0.85</v>
      </c>
      <c r="I4" s="12">
        <v>0.04</v>
      </c>
      <c r="J4" s="7">
        <v>1.5</v>
      </c>
      <c r="K4" s="7">
        <v>1.1000000000000001</v>
      </c>
      <c r="L4" s="7" t="s">
        <v>171</v>
      </c>
      <c r="M4" s="7">
        <v>1</v>
      </c>
      <c r="N4" s="7">
        <v>0</v>
      </c>
      <c r="O4" s="7">
        <v>1</v>
      </c>
      <c r="P4" s="7" t="s">
        <v>172</v>
      </c>
    </row>
    <row r="5" spans="1:16" ht="27" x14ac:dyDescent="0.15">
      <c r="A5" s="8" t="s">
        <v>173</v>
      </c>
      <c r="B5" s="8" t="s">
        <v>174</v>
      </c>
      <c r="C5" s="8" t="s">
        <v>175</v>
      </c>
      <c r="D5" s="8" t="s">
        <v>176</v>
      </c>
      <c r="E5" s="8" t="s">
        <v>177</v>
      </c>
      <c r="F5" s="8" t="s">
        <v>178</v>
      </c>
      <c r="G5" s="8">
        <v>0.65</v>
      </c>
      <c r="H5" s="11">
        <v>0.86</v>
      </c>
      <c r="I5" s="11">
        <v>0.05</v>
      </c>
      <c r="J5" s="8">
        <v>1.6</v>
      </c>
      <c r="K5" s="8">
        <v>0.85</v>
      </c>
      <c r="L5" s="8" t="s">
        <v>179</v>
      </c>
      <c r="M5" s="8">
        <v>2</v>
      </c>
      <c r="N5" s="8">
        <v>0</v>
      </c>
      <c r="O5" s="8">
        <v>2</v>
      </c>
      <c r="P5" s="8" t="s">
        <v>180</v>
      </c>
    </row>
    <row r="6" spans="1:16" x14ac:dyDescent="0.15">
      <c r="A6" s="7" t="s">
        <v>181</v>
      </c>
      <c r="B6" s="7" t="s">
        <v>182</v>
      </c>
      <c r="C6" s="7" t="s">
        <v>183</v>
      </c>
      <c r="D6" s="7" t="s">
        <v>184</v>
      </c>
      <c r="E6" s="7" t="s">
        <v>185</v>
      </c>
      <c r="F6" s="7" t="s">
        <v>162</v>
      </c>
      <c r="G6" s="7">
        <v>0.75</v>
      </c>
      <c r="H6" s="12">
        <v>0.9</v>
      </c>
      <c r="I6" s="12">
        <v>0.08</v>
      </c>
      <c r="J6" s="7">
        <v>1.8</v>
      </c>
      <c r="K6" s="7">
        <v>1</v>
      </c>
      <c r="L6" s="7" t="s">
        <v>186</v>
      </c>
      <c r="M6" s="7">
        <v>4</v>
      </c>
      <c r="N6" s="7">
        <v>1</v>
      </c>
      <c r="O6" s="7">
        <v>3</v>
      </c>
      <c r="P6" s="7" t="s">
        <v>187</v>
      </c>
    </row>
    <row r="7" spans="1:16" x14ac:dyDescent="0.15">
      <c r="A7" s="8" t="s">
        <v>188</v>
      </c>
      <c r="B7" s="8" t="s">
        <v>189</v>
      </c>
      <c r="C7" s="8" t="s">
        <v>183</v>
      </c>
      <c r="D7" s="8" t="s">
        <v>190</v>
      </c>
      <c r="E7" s="8" t="s">
        <v>191</v>
      </c>
      <c r="F7" s="8" t="s">
        <v>192</v>
      </c>
      <c r="G7" s="8">
        <v>1</v>
      </c>
      <c r="H7" s="11">
        <v>0.88</v>
      </c>
      <c r="I7" s="11">
        <v>0.1</v>
      </c>
      <c r="J7" s="8">
        <v>1.8</v>
      </c>
      <c r="K7" s="8">
        <v>1.25</v>
      </c>
      <c r="L7" s="8" t="s">
        <v>193</v>
      </c>
      <c r="M7" s="8">
        <v>2</v>
      </c>
      <c r="N7" s="8">
        <v>0</v>
      </c>
      <c r="O7" s="8">
        <v>2</v>
      </c>
      <c r="P7" s="8" t="s">
        <v>194</v>
      </c>
    </row>
    <row r="8" spans="1:16" x14ac:dyDescent="0.15">
      <c r="A8" s="7" t="s">
        <v>195</v>
      </c>
      <c r="B8" s="7" t="s">
        <v>196</v>
      </c>
      <c r="C8" s="7" t="s">
        <v>197</v>
      </c>
      <c r="D8" s="7" t="s">
        <v>198</v>
      </c>
      <c r="E8" s="7" t="s">
        <v>199</v>
      </c>
      <c r="F8" s="7" t="s">
        <v>170</v>
      </c>
      <c r="G8" s="7">
        <v>1.1000000000000001</v>
      </c>
      <c r="H8" s="12">
        <v>0.87</v>
      </c>
      <c r="I8" s="12">
        <v>0.06</v>
      </c>
      <c r="J8" s="7">
        <v>1.6</v>
      </c>
      <c r="K8" s="7">
        <v>1.35</v>
      </c>
      <c r="L8" s="7" t="s">
        <v>200</v>
      </c>
      <c r="M8" s="7">
        <v>1</v>
      </c>
      <c r="N8" s="7">
        <v>0</v>
      </c>
      <c r="O8" s="7">
        <v>1</v>
      </c>
      <c r="P8" s="7" t="s">
        <v>201</v>
      </c>
    </row>
    <row r="9" spans="1:16" ht="27" x14ac:dyDescent="0.15">
      <c r="A9" s="8" t="s">
        <v>202</v>
      </c>
      <c r="B9" s="8" t="s">
        <v>203</v>
      </c>
      <c r="C9" s="8" t="s">
        <v>197</v>
      </c>
      <c r="D9" s="8" t="s">
        <v>204</v>
      </c>
      <c r="E9" s="8" t="s">
        <v>205</v>
      </c>
      <c r="F9" s="8" t="s">
        <v>192</v>
      </c>
      <c r="G9" s="8">
        <v>0.85</v>
      </c>
      <c r="H9" s="11">
        <v>0.84</v>
      </c>
      <c r="I9" s="11">
        <v>0.04</v>
      </c>
      <c r="J9" s="8">
        <v>1.5</v>
      </c>
      <c r="K9" s="8">
        <v>0.95</v>
      </c>
      <c r="L9" s="8" t="s">
        <v>206</v>
      </c>
      <c r="M9" s="8">
        <v>1</v>
      </c>
      <c r="N9" s="8">
        <v>0</v>
      </c>
      <c r="O9" s="8">
        <v>2</v>
      </c>
      <c r="P9" s="8" t="s">
        <v>207</v>
      </c>
    </row>
  </sheetData>
  <autoFilter ref="A1:P9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L12"/>
  <sheetViews>
    <sheetView showGridLines="0" tabSelected="1" workbookViewId="0">
      <pane ySplit="1" topLeftCell="A2" activePane="bottomLeft" state="frozen"/>
      <selection pane="bottomLeft" activeCell="H17" sqref="H17"/>
    </sheetView>
  </sheetViews>
  <sheetFormatPr defaultRowHeight="13.5" x14ac:dyDescent="0.15"/>
  <cols>
    <col min="1" max="11" width="12" style="13" customWidth="1"/>
    <col min="12" max="12" width="47.125" style="13" customWidth="1"/>
    <col min="13" max="16384" width="9" style="13"/>
  </cols>
  <sheetData>
    <row r="1" spans="1:12" ht="30" customHeight="1" x14ac:dyDescent="0.15">
      <c r="A1" s="4" t="s">
        <v>208</v>
      </c>
      <c r="B1" s="4" t="s">
        <v>209</v>
      </c>
      <c r="C1" s="4" t="s">
        <v>210</v>
      </c>
      <c r="D1" s="4" t="s">
        <v>211</v>
      </c>
      <c r="E1" s="4" t="s">
        <v>212</v>
      </c>
      <c r="F1" s="4" t="s">
        <v>213</v>
      </c>
      <c r="G1" s="4" t="s">
        <v>214</v>
      </c>
      <c r="H1" s="4" t="s">
        <v>215</v>
      </c>
      <c r="I1" s="4" t="s">
        <v>216</v>
      </c>
      <c r="J1" s="4" t="s">
        <v>217</v>
      </c>
      <c r="K1" s="4" t="s">
        <v>218</v>
      </c>
      <c r="L1" s="4" t="s">
        <v>219</v>
      </c>
    </row>
    <row r="2" spans="1:12" x14ac:dyDescent="0.15">
      <c r="A2" s="14" t="s">
        <v>208</v>
      </c>
      <c r="B2" s="14" t="s">
        <v>209</v>
      </c>
      <c r="C2" s="14" t="s">
        <v>210</v>
      </c>
      <c r="D2" s="14" t="s">
        <v>211</v>
      </c>
      <c r="E2" s="14" t="s">
        <v>212</v>
      </c>
      <c r="F2" s="14" t="s">
        <v>213</v>
      </c>
      <c r="G2" s="14" t="s">
        <v>214</v>
      </c>
      <c r="H2" s="14" t="s">
        <v>215</v>
      </c>
      <c r="I2" s="14" t="s">
        <v>216</v>
      </c>
      <c r="J2" s="14" t="s">
        <v>217</v>
      </c>
      <c r="K2" s="14" t="s">
        <v>218</v>
      </c>
      <c r="L2" s="14" t="s">
        <v>219</v>
      </c>
    </row>
    <row r="3" spans="1:12" x14ac:dyDescent="0.15">
      <c r="A3" s="15">
        <v>1</v>
      </c>
      <c r="B3" s="15">
        <v>5</v>
      </c>
      <c r="C3" s="16">
        <v>1</v>
      </c>
      <c r="D3" s="15">
        <v>2</v>
      </c>
      <c r="E3" s="15">
        <v>1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3</v>
      </c>
      <c r="L3" s="15" t="s">
        <v>220</v>
      </c>
    </row>
    <row r="4" spans="1:12" x14ac:dyDescent="0.15">
      <c r="A4" s="14">
        <v>2</v>
      </c>
      <c r="B4" s="14">
        <v>15</v>
      </c>
      <c r="C4" s="14">
        <v>1.2</v>
      </c>
      <c r="D4" s="14">
        <v>3</v>
      </c>
      <c r="E4" s="14">
        <v>2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5</v>
      </c>
      <c r="L4" s="14" t="s">
        <v>221</v>
      </c>
    </row>
    <row r="5" spans="1:12" x14ac:dyDescent="0.15">
      <c r="A5" s="15">
        <v>3</v>
      </c>
      <c r="B5" s="15">
        <v>35</v>
      </c>
      <c r="C5" s="15">
        <v>1.45</v>
      </c>
      <c r="D5" s="15">
        <v>2</v>
      </c>
      <c r="E5" s="15">
        <v>4</v>
      </c>
      <c r="F5" s="15">
        <v>1</v>
      </c>
      <c r="G5" s="15">
        <v>0</v>
      </c>
      <c r="H5" s="15">
        <v>0</v>
      </c>
      <c r="I5" s="15">
        <v>0</v>
      </c>
      <c r="J5" s="15">
        <v>0</v>
      </c>
      <c r="K5" s="15">
        <v>7</v>
      </c>
      <c r="L5" s="15" t="s">
        <v>222</v>
      </c>
    </row>
    <row r="6" spans="1:12" x14ac:dyDescent="0.15">
      <c r="A6" s="14">
        <v>4</v>
      </c>
      <c r="B6" s="14">
        <v>55</v>
      </c>
      <c r="C6" s="14">
        <v>1.7</v>
      </c>
      <c r="D6" s="14">
        <v>2</v>
      </c>
      <c r="E6" s="14">
        <v>4</v>
      </c>
      <c r="F6" s="14">
        <v>1</v>
      </c>
      <c r="G6" s="14">
        <v>1</v>
      </c>
      <c r="H6" s="14">
        <v>0</v>
      </c>
      <c r="I6" s="14">
        <v>0</v>
      </c>
      <c r="J6" s="14">
        <v>0</v>
      </c>
      <c r="K6" s="14">
        <v>8</v>
      </c>
      <c r="L6" s="14" t="s">
        <v>223</v>
      </c>
    </row>
    <row r="7" spans="1:12" x14ac:dyDescent="0.15">
      <c r="A7" s="15">
        <v>5</v>
      </c>
      <c r="B7" s="15">
        <v>75</v>
      </c>
      <c r="C7" s="15">
        <v>2</v>
      </c>
      <c r="D7" s="15">
        <v>2</v>
      </c>
      <c r="E7" s="15">
        <v>5</v>
      </c>
      <c r="F7" s="15">
        <v>1</v>
      </c>
      <c r="G7" s="15">
        <v>1</v>
      </c>
      <c r="H7" s="15">
        <v>1</v>
      </c>
      <c r="I7" s="15">
        <v>0</v>
      </c>
      <c r="J7" s="15">
        <v>0</v>
      </c>
      <c r="K7" s="15">
        <v>10</v>
      </c>
      <c r="L7" s="15" t="s">
        <v>224</v>
      </c>
    </row>
    <row r="8" spans="1:12" x14ac:dyDescent="0.15">
      <c r="A8" s="14">
        <v>6</v>
      </c>
      <c r="B8" s="14">
        <v>95</v>
      </c>
      <c r="C8" s="14">
        <v>2.2999999999999998</v>
      </c>
      <c r="D8" s="14">
        <v>1</v>
      </c>
      <c r="E8" s="14">
        <v>5</v>
      </c>
      <c r="F8" s="14">
        <v>2</v>
      </c>
      <c r="G8" s="14">
        <v>1</v>
      </c>
      <c r="H8" s="14">
        <v>1</v>
      </c>
      <c r="I8" s="14">
        <v>1</v>
      </c>
      <c r="J8" s="14">
        <v>1</v>
      </c>
      <c r="K8" s="14">
        <v>12</v>
      </c>
      <c r="L8" s="14" t="s">
        <v>225</v>
      </c>
    </row>
    <row r="9" spans="1:12" x14ac:dyDescent="0.15">
      <c r="A9" s="15">
        <v>7</v>
      </c>
      <c r="B9" s="15">
        <v>115</v>
      </c>
      <c r="C9" s="15">
        <v>2.6</v>
      </c>
      <c r="D9" s="15">
        <v>1</v>
      </c>
      <c r="E9" s="15">
        <v>6</v>
      </c>
      <c r="F9" s="15">
        <v>2</v>
      </c>
      <c r="G9" s="15">
        <v>2</v>
      </c>
      <c r="H9" s="15">
        <v>1</v>
      </c>
      <c r="I9" s="15">
        <v>1</v>
      </c>
      <c r="J9" s="15">
        <v>1</v>
      </c>
      <c r="K9" s="15">
        <v>14</v>
      </c>
      <c r="L9" s="15" t="s">
        <v>226</v>
      </c>
    </row>
    <row r="10" spans="1:12" x14ac:dyDescent="0.15">
      <c r="A10" s="14">
        <v>8</v>
      </c>
      <c r="B10" s="14">
        <v>135</v>
      </c>
      <c r="C10" s="14">
        <v>2.9</v>
      </c>
      <c r="D10" s="14">
        <v>0</v>
      </c>
      <c r="E10" s="14">
        <v>6</v>
      </c>
      <c r="F10" s="14">
        <v>3</v>
      </c>
      <c r="G10" s="14">
        <v>2</v>
      </c>
      <c r="H10" s="14">
        <v>2</v>
      </c>
      <c r="I10" s="14">
        <v>1</v>
      </c>
      <c r="J10" s="14">
        <v>1</v>
      </c>
      <c r="K10" s="14">
        <v>15</v>
      </c>
      <c r="L10" s="14" t="s">
        <v>227</v>
      </c>
    </row>
    <row r="11" spans="1:12" x14ac:dyDescent="0.15">
      <c r="A11" s="15">
        <v>9</v>
      </c>
      <c r="B11" s="15">
        <v>155</v>
      </c>
      <c r="C11" s="15">
        <v>3.2</v>
      </c>
      <c r="D11" s="15">
        <v>0</v>
      </c>
      <c r="E11" s="15">
        <v>7</v>
      </c>
      <c r="F11" s="15">
        <v>3</v>
      </c>
      <c r="G11" s="15">
        <v>2</v>
      </c>
      <c r="H11" s="15">
        <v>2</v>
      </c>
      <c r="I11" s="15">
        <v>2</v>
      </c>
      <c r="J11" s="15">
        <v>1</v>
      </c>
      <c r="K11" s="15">
        <v>17</v>
      </c>
      <c r="L11" s="15" t="s">
        <v>228</v>
      </c>
    </row>
    <row r="12" spans="1:12" x14ac:dyDescent="0.15">
      <c r="A12" s="14">
        <v>10</v>
      </c>
      <c r="B12" s="14">
        <v>175</v>
      </c>
      <c r="C12" s="14">
        <v>3.5</v>
      </c>
      <c r="D12" s="14">
        <v>0</v>
      </c>
      <c r="E12" s="14">
        <v>7</v>
      </c>
      <c r="F12" s="14">
        <v>4</v>
      </c>
      <c r="G12" s="14">
        <v>3</v>
      </c>
      <c r="H12" s="14">
        <v>2</v>
      </c>
      <c r="I12" s="14">
        <v>2</v>
      </c>
      <c r="J12" s="14">
        <v>1</v>
      </c>
      <c r="K12" s="14">
        <v>19</v>
      </c>
      <c r="L12" s="14" t="s">
        <v>229</v>
      </c>
    </row>
  </sheetData>
  <autoFilter ref="A1:L12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K8"/>
  <sheetViews>
    <sheetView showGridLines="0" workbookViewId="0">
      <pane ySplit="1" topLeftCell="A2" activePane="bottomLeft" state="frozen"/>
      <selection pane="bottomLeft" activeCell="K9" sqref="K9"/>
    </sheetView>
  </sheetViews>
  <sheetFormatPr defaultRowHeight="13.5" x14ac:dyDescent="0.15"/>
  <cols>
    <col min="1" max="4" width="12" style="13" customWidth="1"/>
    <col min="5" max="5" width="13.5" style="13" customWidth="1"/>
    <col min="6" max="7" width="12" style="13" customWidth="1"/>
    <col min="8" max="8" width="14.125" style="13" customWidth="1"/>
    <col min="9" max="9" width="17.875" style="13" customWidth="1"/>
    <col min="10" max="10" width="12.5" style="13" customWidth="1"/>
    <col min="11" max="11" width="40.625" style="13" customWidth="1"/>
    <col min="12" max="16384" width="9" style="13"/>
  </cols>
  <sheetData>
    <row r="1" spans="1:11" ht="30" customHeight="1" x14ac:dyDescent="0.15">
      <c r="A1" s="4" t="s">
        <v>230</v>
      </c>
      <c r="B1" s="4" t="s">
        <v>151</v>
      </c>
      <c r="C1" s="4" t="s">
        <v>48</v>
      </c>
      <c r="D1" s="4" t="s">
        <v>231</v>
      </c>
      <c r="E1" s="4" t="s">
        <v>232</v>
      </c>
      <c r="F1" s="4" t="s">
        <v>54</v>
      </c>
      <c r="G1" s="4" t="s">
        <v>135</v>
      </c>
      <c r="H1" s="4" t="s">
        <v>136</v>
      </c>
      <c r="I1" s="10" t="s">
        <v>392</v>
      </c>
      <c r="J1" s="4" t="s">
        <v>233</v>
      </c>
      <c r="K1" s="4" t="s">
        <v>3</v>
      </c>
    </row>
    <row r="2" spans="1:11" x14ac:dyDescent="0.15">
      <c r="A2" s="14" t="s">
        <v>230</v>
      </c>
      <c r="B2" s="14" t="s">
        <v>151</v>
      </c>
      <c r="C2" s="14" t="s">
        <v>48</v>
      </c>
      <c r="D2" s="14" t="s">
        <v>231</v>
      </c>
      <c r="E2" s="14" t="s">
        <v>232</v>
      </c>
      <c r="F2" s="14" t="s">
        <v>54</v>
      </c>
      <c r="G2" s="14" t="s">
        <v>395</v>
      </c>
      <c r="H2" s="14" t="s">
        <v>394</v>
      </c>
      <c r="I2" s="14" t="s">
        <v>393</v>
      </c>
      <c r="J2" s="14" t="s">
        <v>233</v>
      </c>
      <c r="K2" s="14" t="s">
        <v>3</v>
      </c>
    </row>
    <row r="3" spans="1:11" x14ac:dyDescent="0.15">
      <c r="A3" s="15" t="s">
        <v>234</v>
      </c>
      <c r="B3" s="15" t="s">
        <v>235</v>
      </c>
      <c r="C3" s="15" t="s">
        <v>236</v>
      </c>
      <c r="D3" s="15" t="s">
        <v>170</v>
      </c>
      <c r="E3" s="16">
        <v>0</v>
      </c>
      <c r="F3" s="15">
        <v>1</v>
      </c>
      <c r="G3" s="15">
        <v>3</v>
      </c>
      <c r="H3" s="15">
        <v>0</v>
      </c>
      <c r="I3" s="15" t="s">
        <v>237</v>
      </c>
      <c r="J3" s="15">
        <v>5</v>
      </c>
      <c r="K3" s="15" t="s">
        <v>238</v>
      </c>
    </row>
    <row r="4" spans="1:11" x14ac:dyDescent="0.15">
      <c r="A4" s="14" t="s">
        <v>239</v>
      </c>
      <c r="B4" s="14" t="s">
        <v>240</v>
      </c>
      <c r="C4" s="14" t="s">
        <v>236</v>
      </c>
      <c r="D4" s="14" t="s">
        <v>178</v>
      </c>
      <c r="E4" s="17">
        <v>0.05</v>
      </c>
      <c r="F4" s="14">
        <v>1</v>
      </c>
      <c r="G4" s="14">
        <v>8</v>
      </c>
      <c r="H4" s="14">
        <v>0</v>
      </c>
      <c r="I4" s="14">
        <v>2</v>
      </c>
      <c r="J4" s="14">
        <v>12</v>
      </c>
      <c r="K4" s="14" t="s">
        <v>241</v>
      </c>
    </row>
    <row r="5" spans="1:11" x14ac:dyDescent="0.15">
      <c r="A5" s="15" t="s">
        <v>242</v>
      </c>
      <c r="B5" s="15" t="s">
        <v>243</v>
      </c>
      <c r="C5" s="15" t="s">
        <v>244</v>
      </c>
      <c r="D5" s="15" t="s">
        <v>245</v>
      </c>
      <c r="E5" s="15">
        <v>-0.05</v>
      </c>
      <c r="F5" s="15">
        <v>5</v>
      </c>
      <c r="G5" s="15">
        <v>10</v>
      </c>
      <c r="H5" s="15">
        <v>0</v>
      </c>
      <c r="I5" s="15">
        <v>3</v>
      </c>
      <c r="J5" s="15">
        <v>18</v>
      </c>
      <c r="K5" s="15" t="s">
        <v>396</v>
      </c>
    </row>
    <row r="6" spans="1:11" x14ac:dyDescent="0.15">
      <c r="A6" s="14" t="s">
        <v>246</v>
      </c>
      <c r="B6" s="14" t="s">
        <v>247</v>
      </c>
      <c r="C6" s="14" t="s">
        <v>236</v>
      </c>
      <c r="D6" s="14" t="s">
        <v>248</v>
      </c>
      <c r="E6" s="17">
        <v>0.1</v>
      </c>
      <c r="F6" s="14">
        <v>1</v>
      </c>
      <c r="G6" s="14">
        <v>6</v>
      </c>
      <c r="H6" s="14">
        <v>5</v>
      </c>
      <c r="I6" s="14">
        <v>1</v>
      </c>
      <c r="J6" s="14">
        <v>25</v>
      </c>
      <c r="K6" s="14" t="s">
        <v>249</v>
      </c>
    </row>
    <row r="7" spans="1:11" x14ac:dyDescent="0.15">
      <c r="A7" s="15" t="s">
        <v>250</v>
      </c>
      <c r="B7" s="15" t="s">
        <v>251</v>
      </c>
      <c r="C7" s="15" t="s">
        <v>244</v>
      </c>
      <c r="D7" s="15" t="s">
        <v>248</v>
      </c>
      <c r="E7" s="16">
        <v>0</v>
      </c>
      <c r="F7" s="15">
        <v>7</v>
      </c>
      <c r="G7" s="15">
        <v>14</v>
      </c>
      <c r="H7" s="15">
        <v>4</v>
      </c>
      <c r="I7" s="15">
        <v>5</v>
      </c>
      <c r="J7" s="15">
        <v>35</v>
      </c>
      <c r="K7" s="15" t="s">
        <v>397</v>
      </c>
    </row>
    <row r="8" spans="1:11" x14ac:dyDescent="0.15">
      <c r="A8" s="14" t="s">
        <v>252</v>
      </c>
      <c r="B8" s="14" t="s">
        <v>253</v>
      </c>
      <c r="C8" s="14" t="s">
        <v>236</v>
      </c>
      <c r="D8" s="14" t="s">
        <v>205</v>
      </c>
      <c r="E8" s="14">
        <v>-0.05</v>
      </c>
      <c r="F8" s="14">
        <v>1</v>
      </c>
      <c r="G8" s="14">
        <v>10</v>
      </c>
      <c r="H8" s="14">
        <v>12</v>
      </c>
      <c r="I8" s="14">
        <v>2</v>
      </c>
      <c r="J8" s="14">
        <v>45</v>
      </c>
      <c r="K8" s="14" t="s">
        <v>398</v>
      </c>
    </row>
  </sheetData>
  <autoFilter ref="A1:K8" xr:uid="{00000000-0009-0000-0000-000006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E16"/>
  <sheetViews>
    <sheetView showGridLines="0" workbookViewId="0">
      <pane ySplit="1" topLeftCell="A2" activePane="bottomLeft" state="frozen"/>
      <selection pane="bottomLeft" activeCell="D28" sqref="D28"/>
    </sheetView>
  </sheetViews>
  <sheetFormatPr defaultRowHeight="13.5" x14ac:dyDescent="0.15"/>
  <cols>
    <col min="1" max="1" width="12" customWidth="1"/>
    <col min="2" max="2" width="15.5" customWidth="1"/>
    <col min="3" max="3" width="80.125" customWidth="1"/>
    <col min="4" max="4" width="54.125" customWidth="1"/>
    <col min="5" max="5" width="49.5" customWidth="1"/>
  </cols>
  <sheetData>
    <row r="1" spans="1:5" ht="30" customHeight="1" x14ac:dyDescent="0.15">
      <c r="A1" s="4" t="s">
        <v>254</v>
      </c>
      <c r="B1" s="4" t="s">
        <v>151</v>
      </c>
      <c r="C1" s="4" t="s">
        <v>255</v>
      </c>
      <c r="D1" s="4" t="s">
        <v>256</v>
      </c>
      <c r="E1" s="4" t="s">
        <v>257</v>
      </c>
    </row>
    <row r="2" spans="1:5" x14ac:dyDescent="0.15">
      <c r="A2" s="2" t="s">
        <v>254</v>
      </c>
      <c r="B2" s="2" t="s">
        <v>151</v>
      </c>
      <c r="C2" s="2" t="s">
        <v>255</v>
      </c>
      <c r="D2" s="2" t="s">
        <v>256</v>
      </c>
      <c r="E2" s="2" t="s">
        <v>257</v>
      </c>
    </row>
    <row r="3" spans="1:5" x14ac:dyDescent="0.15">
      <c r="A3" s="3" t="s">
        <v>258</v>
      </c>
      <c r="B3" s="3" t="s">
        <v>259</v>
      </c>
      <c r="C3" s="3" t="s">
        <v>260</v>
      </c>
      <c r="D3" s="3" t="s">
        <v>261</v>
      </c>
      <c r="E3" s="3" t="s">
        <v>262</v>
      </c>
    </row>
    <row r="4" spans="1:5" x14ac:dyDescent="0.15">
      <c r="A4" s="2" t="s">
        <v>263</v>
      </c>
      <c r="B4" s="2" t="s">
        <v>264</v>
      </c>
      <c r="C4" s="2" t="s">
        <v>265</v>
      </c>
      <c r="D4" s="2" t="s">
        <v>266</v>
      </c>
      <c r="E4" s="2" t="s">
        <v>267</v>
      </c>
    </row>
    <row r="5" spans="1:5" x14ac:dyDescent="0.15">
      <c r="A5" s="3" t="s">
        <v>268</v>
      </c>
      <c r="B5" s="3" t="s">
        <v>269</v>
      </c>
      <c r="C5" s="3" t="s">
        <v>270</v>
      </c>
      <c r="D5" s="3" t="s">
        <v>271</v>
      </c>
      <c r="E5" s="3" t="s">
        <v>272</v>
      </c>
    </row>
    <row r="6" spans="1:5" x14ac:dyDescent="0.15">
      <c r="A6" s="2" t="s">
        <v>273</v>
      </c>
      <c r="B6" s="2" t="s">
        <v>274</v>
      </c>
      <c r="C6" s="2" t="s">
        <v>275</v>
      </c>
      <c r="D6" s="2" t="s">
        <v>276</v>
      </c>
      <c r="E6" s="2" t="s">
        <v>277</v>
      </c>
    </row>
    <row r="7" spans="1:5" x14ac:dyDescent="0.15">
      <c r="A7" s="3" t="s">
        <v>278</v>
      </c>
      <c r="B7" s="3" t="s">
        <v>279</v>
      </c>
      <c r="C7" s="3" t="s">
        <v>280</v>
      </c>
      <c r="D7" s="3" t="s">
        <v>281</v>
      </c>
      <c r="E7" s="3" t="s">
        <v>282</v>
      </c>
    </row>
    <row r="8" spans="1:5" x14ac:dyDescent="0.15">
      <c r="A8" s="2" t="s">
        <v>283</v>
      </c>
      <c r="B8" s="2" t="s">
        <v>284</v>
      </c>
      <c r="C8" s="2" t="s">
        <v>285</v>
      </c>
      <c r="D8" s="2" t="s">
        <v>286</v>
      </c>
      <c r="E8" s="2" t="s">
        <v>287</v>
      </c>
    </row>
    <row r="9" spans="1:5" x14ac:dyDescent="0.15">
      <c r="A9" s="3" t="s">
        <v>288</v>
      </c>
      <c r="B9" s="3" t="s">
        <v>289</v>
      </c>
      <c r="C9" s="3" t="s">
        <v>290</v>
      </c>
      <c r="D9" s="3" t="s">
        <v>291</v>
      </c>
      <c r="E9" s="3" t="s">
        <v>292</v>
      </c>
    </row>
    <row r="10" spans="1:5" ht="27" x14ac:dyDescent="0.15">
      <c r="A10" s="2" t="s">
        <v>293</v>
      </c>
      <c r="B10" s="2" t="s">
        <v>294</v>
      </c>
      <c r="C10" s="2" t="s">
        <v>295</v>
      </c>
      <c r="D10" s="2" t="s">
        <v>296</v>
      </c>
      <c r="E10" s="2" t="s">
        <v>297</v>
      </c>
    </row>
    <row r="11" spans="1:5" x14ac:dyDescent="0.15">
      <c r="A11" s="3" t="s">
        <v>298</v>
      </c>
      <c r="B11" s="3" t="s">
        <v>299</v>
      </c>
      <c r="C11" s="3" t="s">
        <v>300</v>
      </c>
      <c r="D11" s="3" t="s">
        <v>301</v>
      </c>
      <c r="E11" s="3" t="s">
        <v>302</v>
      </c>
    </row>
    <row r="12" spans="1:5" x14ac:dyDescent="0.15">
      <c r="A12" s="2" t="s">
        <v>303</v>
      </c>
      <c r="B12" s="2" t="s">
        <v>304</v>
      </c>
      <c r="C12" s="2" t="s">
        <v>305</v>
      </c>
      <c r="D12" s="2" t="s">
        <v>306</v>
      </c>
      <c r="E12" s="2" t="s">
        <v>307</v>
      </c>
    </row>
    <row r="13" spans="1:5" x14ac:dyDescent="0.15">
      <c r="A13" s="3" t="s">
        <v>308</v>
      </c>
      <c r="B13" s="3" t="s">
        <v>309</v>
      </c>
      <c r="C13" s="3" t="s">
        <v>310</v>
      </c>
      <c r="D13" s="3" t="s">
        <v>311</v>
      </c>
      <c r="E13" s="3" t="s">
        <v>312</v>
      </c>
    </row>
    <row r="14" spans="1:5" x14ac:dyDescent="0.15">
      <c r="A14" s="2" t="s">
        <v>313</v>
      </c>
      <c r="B14" s="2" t="s">
        <v>314</v>
      </c>
      <c r="C14" s="2" t="s">
        <v>315</v>
      </c>
      <c r="D14" s="2" t="s">
        <v>316</v>
      </c>
      <c r="E14" s="2" t="s">
        <v>317</v>
      </c>
    </row>
    <row r="15" spans="1:5" x14ac:dyDescent="0.15">
      <c r="A15" s="3" t="s">
        <v>318</v>
      </c>
      <c r="B15" s="3" t="s">
        <v>319</v>
      </c>
      <c r="C15" s="3" t="s">
        <v>320</v>
      </c>
      <c r="D15" s="3" t="s">
        <v>321</v>
      </c>
      <c r="E15" s="3" t="s">
        <v>322</v>
      </c>
    </row>
    <row r="16" spans="1:5" x14ac:dyDescent="0.15">
      <c r="A16" s="2" t="s">
        <v>323</v>
      </c>
      <c r="B16" s="2" t="s">
        <v>324</v>
      </c>
      <c r="C16" s="2" t="s">
        <v>325</v>
      </c>
      <c r="D16" s="2" t="s">
        <v>326</v>
      </c>
      <c r="E16" s="2" t="s">
        <v>327</v>
      </c>
    </row>
  </sheetData>
  <autoFilter ref="A1:E16" xr:uid="{00000000-0009-0000-0000-000007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C34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3.5" x14ac:dyDescent="0.15"/>
  <cols>
    <col min="1" max="1" width="14.75" style="9" customWidth="1"/>
    <col min="2" max="2" width="16.125" style="9" customWidth="1"/>
    <col min="3" max="3" width="17.5" style="9" customWidth="1"/>
  </cols>
  <sheetData>
    <row r="1" spans="1:3" ht="30" customHeight="1" x14ac:dyDescent="0.15">
      <c r="A1" s="10" t="s">
        <v>380</v>
      </c>
      <c r="B1" s="10" t="s">
        <v>381</v>
      </c>
      <c r="C1" s="10" t="s">
        <v>382</v>
      </c>
    </row>
    <row r="2" spans="1:3" x14ac:dyDescent="0.15">
      <c r="A2" s="7" t="s">
        <v>328</v>
      </c>
    </row>
    <row r="3" spans="1:3" x14ac:dyDescent="0.15">
      <c r="A3" s="9" t="s">
        <v>383</v>
      </c>
      <c r="B3" s="9">
        <v>30</v>
      </c>
      <c r="C3" s="9">
        <v>1</v>
      </c>
    </row>
    <row r="4" spans="1:3" x14ac:dyDescent="0.15">
      <c r="A4" s="9" t="s">
        <v>384</v>
      </c>
      <c r="B4" s="8">
        <f>B3*2</f>
        <v>60</v>
      </c>
      <c r="C4" s="8">
        <f>C3*2</f>
        <v>2</v>
      </c>
    </row>
    <row r="5" spans="1:3" x14ac:dyDescent="0.15">
      <c r="A5" s="9" t="s">
        <v>385</v>
      </c>
      <c r="B5" s="8">
        <f>B4*2</f>
        <v>120</v>
      </c>
      <c r="C5" s="8">
        <f>C4*2</f>
        <v>4</v>
      </c>
    </row>
    <row r="6" spans="1:3" x14ac:dyDescent="0.15">
      <c r="A6" s="9" t="s">
        <v>386</v>
      </c>
      <c r="B6" s="8">
        <f>B5*2</f>
        <v>240</v>
      </c>
      <c r="C6" s="8">
        <f>C5*2</f>
        <v>8</v>
      </c>
    </row>
    <row r="7" spans="1:3" x14ac:dyDescent="0.15">
      <c r="A7" s="9" t="s">
        <v>387</v>
      </c>
      <c r="B7" s="8">
        <f>B6*2</f>
        <v>480</v>
      </c>
      <c r="C7" s="8">
        <f>C6*2</f>
        <v>16</v>
      </c>
    </row>
    <row r="8" spans="1:3" x14ac:dyDescent="0.15">
      <c r="A8" s="9" t="s">
        <v>388</v>
      </c>
      <c r="B8" s="8">
        <f>B7*2</f>
        <v>960</v>
      </c>
      <c r="C8" s="8">
        <f>C7*2</f>
        <v>32</v>
      </c>
    </row>
    <row r="9" spans="1:3" x14ac:dyDescent="0.15">
      <c r="A9" s="9" t="s">
        <v>389</v>
      </c>
      <c r="B9" s="8">
        <f>B8*2</f>
        <v>1920</v>
      </c>
      <c r="C9" s="8">
        <f>C8*2</f>
        <v>64</v>
      </c>
    </row>
    <row r="10" spans="1:3" x14ac:dyDescent="0.15">
      <c r="A10" s="9" t="s">
        <v>390</v>
      </c>
      <c r="B10" s="8">
        <f>B9*2</f>
        <v>3840</v>
      </c>
      <c r="C10" s="8">
        <f>C9*2</f>
        <v>128</v>
      </c>
    </row>
    <row r="11" spans="1:3" x14ac:dyDescent="0.15">
      <c r="A11" s="9" t="s">
        <v>391</v>
      </c>
      <c r="B11" s="8">
        <f>B10*2</f>
        <v>7680</v>
      </c>
      <c r="C11" s="8">
        <f>C10*2</f>
        <v>256</v>
      </c>
    </row>
    <row r="12" spans="1:3" x14ac:dyDescent="0.15">
      <c r="A12" s="9" t="s">
        <v>103</v>
      </c>
      <c r="B12" s="8">
        <f>B11*2</f>
        <v>15360</v>
      </c>
      <c r="C12" s="8">
        <f>C11*2</f>
        <v>512</v>
      </c>
    </row>
    <row r="13" spans="1:3" x14ac:dyDescent="0.15">
      <c r="A13" s="7" t="s">
        <v>329</v>
      </c>
    </row>
    <row r="14" spans="1:3" x14ac:dyDescent="0.15">
      <c r="A14" s="9" t="s">
        <v>383</v>
      </c>
      <c r="B14" s="9">
        <v>30</v>
      </c>
      <c r="C14" s="9">
        <v>1</v>
      </c>
    </row>
    <row r="15" spans="1:3" x14ac:dyDescent="0.15">
      <c r="A15" s="9" t="s">
        <v>384</v>
      </c>
      <c r="B15" s="8">
        <f>B14*2</f>
        <v>60</v>
      </c>
      <c r="C15" s="8">
        <f>C14*2</f>
        <v>2</v>
      </c>
    </row>
    <row r="16" spans="1:3" x14ac:dyDescent="0.15">
      <c r="A16" s="9" t="s">
        <v>385</v>
      </c>
      <c r="B16" s="8">
        <f t="shared" ref="B16:B24" si="0">B15*2</f>
        <v>120</v>
      </c>
      <c r="C16" s="8">
        <f t="shared" ref="C16:C24" si="1">C15*2</f>
        <v>4</v>
      </c>
    </row>
    <row r="17" spans="1:3" x14ac:dyDescent="0.15">
      <c r="A17" s="9" t="s">
        <v>386</v>
      </c>
      <c r="B17" s="8">
        <f t="shared" si="0"/>
        <v>240</v>
      </c>
      <c r="C17" s="8">
        <f>C16*2</f>
        <v>8</v>
      </c>
    </row>
    <row r="18" spans="1:3" x14ac:dyDescent="0.15">
      <c r="A18" s="9" t="s">
        <v>387</v>
      </c>
      <c r="B18" s="8">
        <f t="shared" si="0"/>
        <v>480</v>
      </c>
      <c r="C18" s="8">
        <f t="shared" ref="C18:C24" si="2">C17*2</f>
        <v>16</v>
      </c>
    </row>
    <row r="19" spans="1:3" x14ac:dyDescent="0.15">
      <c r="A19" s="9" t="s">
        <v>388</v>
      </c>
      <c r="B19" s="8">
        <f>B18*2</f>
        <v>960</v>
      </c>
      <c r="C19" s="8">
        <f t="shared" si="2"/>
        <v>32</v>
      </c>
    </row>
    <row r="20" spans="1:3" x14ac:dyDescent="0.15">
      <c r="A20" s="9" t="s">
        <v>389</v>
      </c>
      <c r="B20" s="8">
        <f>B19*2</f>
        <v>1920</v>
      </c>
      <c r="C20" s="8">
        <f t="shared" si="2"/>
        <v>64</v>
      </c>
    </row>
    <row r="21" spans="1:3" x14ac:dyDescent="0.15">
      <c r="A21" s="9" t="s">
        <v>390</v>
      </c>
      <c r="B21" s="8">
        <f t="shared" ref="B21:B24" si="3">B20*2</f>
        <v>3840</v>
      </c>
      <c r="C21" s="8">
        <f t="shared" si="2"/>
        <v>128</v>
      </c>
    </row>
    <row r="22" spans="1:3" x14ac:dyDescent="0.15">
      <c r="A22" s="9" t="s">
        <v>391</v>
      </c>
      <c r="B22" s="8">
        <f t="shared" si="3"/>
        <v>7680</v>
      </c>
      <c r="C22" s="8">
        <f t="shared" si="2"/>
        <v>256</v>
      </c>
    </row>
    <row r="23" spans="1:3" x14ac:dyDescent="0.15">
      <c r="A23" s="9" t="s">
        <v>103</v>
      </c>
      <c r="B23" s="8">
        <f t="shared" si="3"/>
        <v>15360</v>
      </c>
      <c r="C23" s="8">
        <f t="shared" si="2"/>
        <v>512</v>
      </c>
    </row>
    <row r="24" spans="1:3" x14ac:dyDescent="0.15">
      <c r="A24" s="18" t="s">
        <v>399</v>
      </c>
      <c r="B24" s="8"/>
      <c r="C24" s="8"/>
    </row>
    <row r="25" spans="1:3" x14ac:dyDescent="0.15">
      <c r="A25" s="9" t="s">
        <v>383</v>
      </c>
      <c r="B25" s="9">
        <v>30</v>
      </c>
      <c r="C25" s="9">
        <v>1</v>
      </c>
    </row>
    <row r="26" spans="1:3" x14ac:dyDescent="0.15">
      <c r="A26" s="9" t="s">
        <v>384</v>
      </c>
      <c r="B26" s="8">
        <f>B25*2</f>
        <v>60</v>
      </c>
      <c r="C26" s="8">
        <f>C25*2</f>
        <v>2</v>
      </c>
    </row>
    <row r="27" spans="1:3" x14ac:dyDescent="0.15">
      <c r="A27" s="9" t="s">
        <v>385</v>
      </c>
      <c r="B27" s="8">
        <f t="shared" ref="B27:B34" si="4">B26*2</f>
        <v>120</v>
      </c>
      <c r="C27" s="8">
        <f t="shared" ref="C27:C34" si="5">C26*2</f>
        <v>4</v>
      </c>
    </row>
    <row r="28" spans="1:3" x14ac:dyDescent="0.15">
      <c r="A28" s="9" t="s">
        <v>386</v>
      </c>
      <c r="B28" s="8">
        <f t="shared" si="4"/>
        <v>240</v>
      </c>
      <c r="C28" s="8">
        <f>C27*2</f>
        <v>8</v>
      </c>
    </row>
    <row r="29" spans="1:3" x14ac:dyDescent="0.15">
      <c r="A29" s="9" t="s">
        <v>387</v>
      </c>
      <c r="B29" s="8">
        <f t="shared" si="4"/>
        <v>480</v>
      </c>
      <c r="C29" s="8">
        <f t="shared" ref="C29:C34" si="6">C28*2</f>
        <v>16</v>
      </c>
    </row>
    <row r="30" spans="1:3" x14ac:dyDescent="0.15">
      <c r="A30" s="9" t="s">
        <v>388</v>
      </c>
      <c r="B30" s="8">
        <f>B29*2</f>
        <v>960</v>
      </c>
      <c r="C30" s="8">
        <f t="shared" si="6"/>
        <v>32</v>
      </c>
    </row>
    <row r="31" spans="1:3" x14ac:dyDescent="0.15">
      <c r="A31" s="9" t="s">
        <v>389</v>
      </c>
      <c r="B31" s="8">
        <f>B30*2</f>
        <v>1920</v>
      </c>
      <c r="C31" s="8">
        <f t="shared" si="6"/>
        <v>64</v>
      </c>
    </row>
    <row r="32" spans="1:3" x14ac:dyDescent="0.15">
      <c r="A32" s="9" t="s">
        <v>390</v>
      </c>
      <c r="B32" s="8">
        <f t="shared" ref="B32:B34" si="7">B31*2</f>
        <v>3840</v>
      </c>
      <c r="C32" s="8">
        <f t="shared" si="6"/>
        <v>128</v>
      </c>
    </row>
    <row r="33" spans="1:3" x14ac:dyDescent="0.15">
      <c r="A33" s="9" t="s">
        <v>391</v>
      </c>
      <c r="B33" s="8">
        <f t="shared" si="7"/>
        <v>7680</v>
      </c>
      <c r="C33" s="8">
        <f t="shared" si="6"/>
        <v>256</v>
      </c>
    </row>
    <row r="34" spans="1:3" x14ac:dyDescent="0.15">
      <c r="A34" s="9" t="s">
        <v>103</v>
      </c>
      <c r="B34" s="8">
        <f t="shared" si="7"/>
        <v>15360</v>
      </c>
      <c r="C34" s="8">
        <f t="shared" si="6"/>
        <v>512</v>
      </c>
    </row>
  </sheetData>
  <autoFilter ref="A1:C7" xr:uid="{00000000-0009-0000-0000-000008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D9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3.5" x14ac:dyDescent="0.15"/>
  <cols>
    <col min="1" max="1" width="12" customWidth="1"/>
    <col min="2" max="2" width="21.5" customWidth="1"/>
    <col min="3" max="3" width="29" customWidth="1"/>
    <col min="4" max="4" width="32" customWidth="1"/>
  </cols>
  <sheetData>
    <row r="1" spans="1:4" ht="30" customHeight="1" x14ac:dyDescent="0.15">
      <c r="A1" s="4" t="s">
        <v>330</v>
      </c>
      <c r="B1" s="4" t="s">
        <v>331</v>
      </c>
      <c r="C1" s="4" t="s">
        <v>332</v>
      </c>
      <c r="D1" s="4" t="s">
        <v>333</v>
      </c>
    </row>
    <row r="2" spans="1:4" x14ac:dyDescent="0.15">
      <c r="A2" s="2" t="s">
        <v>330</v>
      </c>
      <c r="B2" s="2" t="s">
        <v>331</v>
      </c>
      <c r="C2" s="2" t="s">
        <v>332</v>
      </c>
      <c r="D2" s="2" t="s">
        <v>333</v>
      </c>
    </row>
    <row r="3" spans="1:4" x14ac:dyDescent="0.15">
      <c r="A3" s="3" t="s">
        <v>334</v>
      </c>
      <c r="B3" s="3" t="s">
        <v>335</v>
      </c>
      <c r="C3" s="3" t="s">
        <v>336</v>
      </c>
      <c r="D3" s="3" t="s">
        <v>337</v>
      </c>
    </row>
    <row r="4" spans="1:4" x14ac:dyDescent="0.15">
      <c r="A4" s="2" t="s">
        <v>338</v>
      </c>
      <c r="B4" s="2" t="s">
        <v>339</v>
      </c>
      <c r="C4" s="2" t="s">
        <v>340</v>
      </c>
      <c r="D4" s="2" t="s">
        <v>341</v>
      </c>
    </row>
    <row r="5" spans="1:4" ht="27" x14ac:dyDescent="0.15">
      <c r="A5" s="3" t="s">
        <v>342</v>
      </c>
      <c r="B5" s="3" t="s">
        <v>343</v>
      </c>
      <c r="C5" s="3" t="s">
        <v>344</v>
      </c>
      <c r="D5" s="3" t="s">
        <v>345</v>
      </c>
    </row>
    <row r="6" spans="1:4" ht="27" x14ac:dyDescent="0.15">
      <c r="A6" s="2" t="s">
        <v>346</v>
      </c>
      <c r="B6" s="2" t="s">
        <v>347</v>
      </c>
      <c r="C6" s="2" t="s">
        <v>348</v>
      </c>
      <c r="D6" s="2" t="s">
        <v>349</v>
      </c>
    </row>
    <row r="7" spans="1:4" ht="27" x14ac:dyDescent="0.15">
      <c r="A7" s="3" t="s">
        <v>350</v>
      </c>
      <c r="B7" s="3" t="s">
        <v>351</v>
      </c>
      <c r="C7" s="3" t="s">
        <v>352</v>
      </c>
      <c r="D7" s="3" t="s">
        <v>353</v>
      </c>
    </row>
    <row r="8" spans="1:4" ht="27" x14ac:dyDescent="0.15">
      <c r="A8" s="2" t="s">
        <v>354</v>
      </c>
      <c r="B8" s="2" t="s">
        <v>355</v>
      </c>
      <c r="C8" s="2" t="s">
        <v>356</v>
      </c>
      <c r="D8" s="2" t="s">
        <v>357</v>
      </c>
    </row>
    <row r="9" spans="1:4" x14ac:dyDescent="0.15">
      <c r="A9" s="3" t="s">
        <v>358</v>
      </c>
      <c r="B9" s="3" t="s">
        <v>359</v>
      </c>
      <c r="C9" s="3" t="s">
        <v>360</v>
      </c>
      <c r="D9" s="3" t="s">
        <v>361</v>
      </c>
    </row>
  </sheetData>
  <autoFilter ref="A1:D9" xr:uid="{00000000-0009-0000-0000-000009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showGridLines="0" workbookViewId="0">
      <pane ySplit="1" topLeftCell="A2" activePane="bottomLeft" state="frozen"/>
      <selection pane="bottomLeft" activeCell="B19" sqref="B19"/>
    </sheetView>
  </sheetViews>
  <sheetFormatPr defaultRowHeight="13.5" x14ac:dyDescent="0.15"/>
  <cols>
    <col min="1" max="1" width="18" customWidth="1"/>
    <col min="2" max="2" width="95" customWidth="1"/>
  </cols>
  <sheetData>
    <row r="1" spans="1:2" ht="30" customHeight="1" x14ac:dyDescent="0.15">
      <c r="A1" s="4" t="s">
        <v>362</v>
      </c>
      <c r="B1" s="4" t="s">
        <v>363</v>
      </c>
    </row>
    <row r="2" spans="1:2" x14ac:dyDescent="0.15">
      <c r="A2" s="3" t="s">
        <v>362</v>
      </c>
      <c r="B2" s="3" t="s">
        <v>363</v>
      </c>
    </row>
    <row r="3" spans="1:2" x14ac:dyDescent="0.15">
      <c r="A3" s="3" t="s">
        <v>364</v>
      </c>
      <c r="B3" s="3" t="s">
        <v>365</v>
      </c>
    </row>
    <row r="4" spans="1:2" x14ac:dyDescent="0.15">
      <c r="A4" s="3" t="s">
        <v>366</v>
      </c>
      <c r="B4" s="3" t="s">
        <v>367</v>
      </c>
    </row>
    <row r="5" spans="1:2" x14ac:dyDescent="0.15">
      <c r="A5" s="3" t="s">
        <v>368</v>
      </c>
      <c r="B5" s="3" t="s">
        <v>369</v>
      </c>
    </row>
    <row r="6" spans="1:2" x14ac:dyDescent="0.15">
      <c r="A6" s="3" t="s">
        <v>370</v>
      </c>
      <c r="B6" s="3" t="s">
        <v>371</v>
      </c>
    </row>
    <row r="7" spans="1:2" x14ac:dyDescent="0.15">
      <c r="A7" s="3" t="s">
        <v>372</v>
      </c>
      <c r="B7" s="3" t="s">
        <v>373</v>
      </c>
    </row>
    <row r="8" spans="1:2" x14ac:dyDescent="0.15">
      <c r="A8" s="3" t="s">
        <v>374</v>
      </c>
      <c r="B8" s="3" t="s">
        <v>375</v>
      </c>
    </row>
    <row r="9" spans="1:2" x14ac:dyDescent="0.15">
      <c r="A9" s="3" t="s">
        <v>376</v>
      </c>
      <c r="B9" s="3" t="s">
        <v>401</v>
      </c>
    </row>
    <row r="10" spans="1:2" x14ac:dyDescent="0.15">
      <c r="A10" s="3" t="s">
        <v>377</v>
      </c>
      <c r="B10" s="3" t="s">
        <v>378</v>
      </c>
    </row>
    <row r="11" spans="1:2" x14ac:dyDescent="0.15">
      <c r="A11" s="3" t="s">
        <v>400</v>
      </c>
      <c r="B11" s="3" t="s">
        <v>402</v>
      </c>
    </row>
  </sheetData>
  <autoFilter ref="A1:B10" xr:uid="{00000000-0009-0000-0000-00000A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全局参数</vt:lpstr>
      <vt:lpstr>角色属性</vt:lpstr>
      <vt:lpstr>角色成长</vt:lpstr>
      <vt:lpstr>围栏等级</vt:lpstr>
      <vt:lpstr>怪物属性</vt:lpstr>
      <vt:lpstr>狼群波次</vt:lpstr>
      <vt:lpstr>武器制作</vt:lpstr>
      <vt:lpstr>战斗公式</vt:lpstr>
      <vt:lpstr>采集探索</vt:lpstr>
      <vt:lpstr>平衡检查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2026-10-15T09:36:37Z</dcterms:created>
  <dcterms:modified xsi:type="dcterms:W3CDTF">2026-10-15T10:20:27Z</dcterms:modified>
</cp:coreProperties>
</file>